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DieseArbeitsmappe"/>
  <mc:AlternateContent xmlns:mc="http://schemas.openxmlformats.org/markup-compatibility/2006">
    <mc:Choice Requires="x15">
      <x15ac:absPath xmlns:x15ac="http://schemas.microsoft.com/office/spreadsheetml/2010/11/ac" url="C:\Users\Marcel\Dropbox\"/>
    </mc:Choice>
  </mc:AlternateContent>
  <bookViews>
    <workbookView xWindow="0" yWindow="0" windowWidth="12615" windowHeight="8640" activeTab="1"/>
  </bookViews>
  <sheets>
    <sheet name="Average Base Cost &amp; Ultigen" sheetId="4" r:id="rId1"/>
    <sheet name="Magicka Sheet" sheetId="1" r:id="rId2"/>
    <sheet name="Stamina Sheet" sheetId="5" r:id="rId3"/>
    <sheet name="Class Data (Do not modify)" sheetId="2" r:id="rId4"/>
    <sheet name="Skill Data (Do Not Modify)" sheetId="8" r:id="rId5"/>
    <sheet name="Example Rotations" sheetId="6" r:id="rId6"/>
    <sheet name="Altmer vs Breton" sheetId="11" r:id="rId7"/>
    <sheet name="Comparisons" sheetId="10" r:id="rId8"/>
  </sheet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149" i="8" l="1"/>
  <c r="F148" i="8"/>
  <c r="F147" i="8"/>
  <c r="F146" i="8"/>
  <c r="F145" i="8"/>
  <c r="F144" i="8"/>
  <c r="F143" i="8"/>
  <c r="F142" i="8"/>
  <c r="F141" i="8"/>
  <c r="F140" i="8"/>
  <c r="F139" i="8"/>
  <c r="F138" i="8"/>
  <c r="F137" i="8"/>
  <c r="F136" i="8"/>
  <c r="F135" i="8"/>
  <c r="F134" i="8"/>
  <c r="F133" i="8"/>
  <c r="F132" i="8"/>
  <c r="F131" i="8"/>
  <c r="F130" i="8"/>
  <c r="F129" i="8"/>
  <c r="F128" i="8"/>
  <c r="F127" i="8"/>
  <c r="F126" i="8"/>
  <c r="F125" i="8"/>
  <c r="F124" i="8"/>
  <c r="F123" i="8"/>
  <c r="F122" i="8"/>
  <c r="F121" i="8"/>
  <c r="F120" i="8"/>
  <c r="F119" i="8"/>
  <c r="F118" i="8"/>
  <c r="F117" i="8"/>
  <c r="F116" i="8"/>
  <c r="F115" i="8"/>
  <c r="F114" i="8"/>
  <c r="F113" i="8"/>
  <c r="F112" i="8"/>
  <c r="F111" i="8"/>
  <c r="F110" i="8"/>
  <c r="F109" i="8"/>
  <c r="F108" i="8"/>
  <c r="F107" i="8"/>
  <c r="F106" i="8"/>
  <c r="F105" i="8"/>
  <c r="F104" i="8"/>
  <c r="F103" i="8"/>
  <c r="F102" i="8"/>
  <c r="F101" i="8"/>
  <c r="F100" i="8"/>
  <c r="F99" i="8"/>
  <c r="F98" i="8"/>
  <c r="F97" i="8"/>
  <c r="F96" i="8"/>
  <c r="F95" i="8"/>
  <c r="F94" i="8"/>
  <c r="F93" i="8"/>
  <c r="F92" i="8"/>
  <c r="F91" i="8"/>
  <c r="F90" i="8"/>
  <c r="F89" i="8"/>
  <c r="F88" i="8"/>
  <c r="F87" i="8"/>
  <c r="F86" i="8"/>
  <c r="F85" i="8"/>
  <c r="F84" i="8"/>
  <c r="F83" i="8"/>
  <c r="F82" i="8"/>
  <c r="F81" i="8"/>
  <c r="F80" i="8"/>
  <c r="F79" i="8"/>
  <c r="F78" i="8"/>
  <c r="F77" i="8"/>
  <c r="F76" i="8"/>
  <c r="F75" i="8"/>
  <c r="F74" i="8"/>
  <c r="F73" i="8"/>
  <c r="F72" i="8"/>
  <c r="F71" i="8"/>
  <c r="F70" i="8"/>
  <c r="F69" i="8"/>
  <c r="F68" i="8"/>
  <c r="F67" i="8"/>
  <c r="F66" i="8"/>
  <c r="F65" i="8"/>
  <c r="F64" i="8"/>
  <c r="F63" i="8"/>
  <c r="F62" i="8"/>
  <c r="F61" i="8"/>
  <c r="F60" i="8"/>
  <c r="F59" i="8"/>
  <c r="F58" i="8"/>
  <c r="F57" i="8"/>
  <c r="F56" i="8"/>
  <c r="F55" i="8"/>
  <c r="F54" i="8"/>
  <c r="F53" i="8"/>
  <c r="F52" i="8"/>
  <c r="F51" i="8"/>
  <c r="F50" i="8"/>
  <c r="F49" i="8"/>
  <c r="F48" i="8"/>
  <c r="F47" i="8"/>
  <c r="F46" i="8"/>
  <c r="F45" i="8"/>
  <c r="F44" i="8"/>
  <c r="F43" i="8"/>
  <c r="F42" i="8"/>
  <c r="F41" i="8"/>
  <c r="F40" i="8"/>
  <c r="F39" i="8"/>
  <c r="F38" i="8"/>
  <c r="F37" i="8"/>
  <c r="F36" i="8"/>
  <c r="F35" i="8"/>
  <c r="F34" i="8"/>
  <c r="F33" i="8"/>
  <c r="F32" i="8"/>
  <c r="F31" i="8"/>
  <c r="F30" i="8"/>
  <c r="F29" i="8"/>
  <c r="F28" i="8"/>
  <c r="F27" i="8"/>
  <c r="F26" i="8"/>
  <c r="F25" i="8"/>
  <c r="F24" i="8"/>
  <c r="F23" i="8"/>
  <c r="F22" i="8"/>
  <c r="F21" i="8"/>
  <c r="F20" i="8"/>
  <c r="F19" i="8"/>
  <c r="F18" i="8"/>
  <c r="F17" i="8"/>
  <c r="F16" i="8"/>
  <c r="F15" i="8"/>
  <c r="F14" i="8"/>
  <c r="F13" i="8"/>
  <c r="F12" i="8"/>
  <c r="F11" i="8"/>
  <c r="F10" i="8"/>
  <c r="F9" i="8"/>
  <c r="F8" i="8"/>
  <c r="F7" i="8"/>
  <c r="F6" i="8"/>
  <c r="F5" i="8"/>
  <c r="F4" i="8"/>
  <c r="F3" i="8"/>
  <c r="F2" i="8"/>
  <c r="D41" i="1"/>
  <c r="D30" i="1"/>
  <c r="D32" i="1"/>
  <c r="C51" i="1"/>
  <c r="D51" i="1"/>
  <c r="D52" i="1"/>
  <c r="D31" i="1"/>
  <c r="D33" i="1"/>
  <c r="D34" i="1" s="1"/>
  <c r="D42" i="1"/>
  <c r="D43" i="1"/>
  <c r="D44" i="1"/>
  <c r="D45" i="1"/>
  <c r="D46" i="1"/>
  <c r="D47" i="1"/>
  <c r="D48" i="1"/>
  <c r="D49" i="1"/>
  <c r="D50" i="1"/>
  <c r="E41" i="1"/>
  <c r="E30" i="1"/>
  <c r="E32" i="1"/>
  <c r="E51" i="1"/>
  <c r="E52" i="1"/>
  <c r="E31" i="1"/>
  <c r="E33" i="1"/>
  <c r="E34" i="1" s="1"/>
  <c r="E55" i="1" s="1"/>
  <c r="E42" i="1"/>
  <c r="E43" i="1"/>
  <c r="E44" i="1"/>
  <c r="E45" i="1"/>
  <c r="E46" i="1"/>
  <c r="E47" i="1"/>
  <c r="E48" i="1"/>
  <c r="E49" i="1"/>
  <c r="E50" i="1"/>
  <c r="E30" i="5"/>
  <c r="E32" i="5"/>
  <c r="E53" i="5"/>
  <c r="C51" i="5"/>
  <c r="E51" i="5"/>
  <c r="E52" i="5"/>
  <c r="E31" i="5"/>
  <c r="E33" i="5"/>
  <c r="E34" i="5"/>
  <c r="E41" i="5"/>
  <c r="E42" i="5"/>
  <c r="E43" i="5"/>
  <c r="E44" i="5"/>
  <c r="E45" i="5"/>
  <c r="E46" i="5"/>
  <c r="E47" i="5"/>
  <c r="E48" i="5"/>
  <c r="E49" i="5"/>
  <c r="E50" i="5"/>
  <c r="E55" i="5"/>
  <c r="F30" i="5"/>
  <c r="F32" i="5"/>
  <c r="F53" i="5"/>
  <c r="F51" i="5"/>
  <c r="F52" i="5"/>
  <c r="F31" i="5"/>
  <c r="F33" i="5"/>
  <c r="F34" i="5"/>
  <c r="F41" i="5"/>
  <c r="F42" i="5"/>
  <c r="F43" i="5"/>
  <c r="F44" i="5"/>
  <c r="F45" i="5"/>
  <c r="F46" i="5"/>
  <c r="F47" i="5"/>
  <c r="F48" i="5"/>
  <c r="D49" i="5"/>
  <c r="F49" i="5"/>
  <c r="F50" i="5"/>
  <c r="F55" i="5"/>
  <c r="D30" i="5"/>
  <c r="D32" i="5"/>
  <c r="D53" i="5"/>
  <c r="D51" i="5"/>
  <c r="D52" i="5"/>
  <c r="D31" i="5"/>
  <c r="D33" i="5"/>
  <c r="D34" i="5"/>
  <c r="D41" i="5"/>
  <c r="D42" i="5"/>
  <c r="D43" i="5"/>
  <c r="D44" i="5"/>
  <c r="D45" i="5"/>
  <c r="D46" i="5"/>
  <c r="D47" i="5"/>
  <c r="D48" i="5"/>
  <c r="D50" i="5"/>
  <c r="D55" i="5"/>
  <c r="A2" i="11"/>
  <c r="E2" i="11"/>
  <c r="F2" i="11"/>
  <c r="G2" i="11"/>
  <c r="A3" i="11"/>
  <c r="A4" i="11"/>
  <c r="A5" i="11"/>
  <c r="E5" i="11"/>
  <c r="A6" i="11"/>
  <c r="E6" i="11"/>
  <c r="F6" i="11"/>
  <c r="A7" i="11"/>
  <c r="A8" i="11"/>
  <c r="E3" i="11"/>
  <c r="E4" i="11"/>
  <c r="E7" i="11"/>
  <c r="F3" i="11"/>
  <c r="F4" i="11"/>
  <c r="F5" i="11"/>
  <c r="S55" i="4"/>
  <c r="L55" i="4"/>
  <c r="E55" i="4"/>
  <c r="E26" i="4"/>
  <c r="S26" i="4"/>
  <c r="L26" i="4"/>
  <c r="D52" i="4"/>
  <c r="E52" i="4"/>
  <c r="D51" i="4"/>
  <c r="E51" i="4"/>
  <c r="D50" i="4"/>
  <c r="E50" i="4"/>
  <c r="D49" i="4"/>
  <c r="E49" i="4"/>
  <c r="D48" i="4"/>
  <c r="E48" i="4"/>
  <c r="D47" i="4"/>
  <c r="E47" i="4"/>
  <c r="D46" i="4"/>
  <c r="E46" i="4"/>
  <c r="D45" i="4"/>
  <c r="E45" i="4"/>
  <c r="D44" i="4"/>
  <c r="E44" i="4"/>
  <c r="D43" i="4"/>
  <c r="E43" i="4"/>
  <c r="D42" i="4"/>
  <c r="E42" i="4"/>
  <c r="D41" i="4"/>
  <c r="E41" i="4"/>
  <c r="D40" i="4"/>
  <c r="E40" i="4"/>
  <c r="D39" i="4"/>
  <c r="E39" i="4"/>
  <c r="D38" i="4"/>
  <c r="E38" i="4"/>
  <c r="D37" i="4"/>
  <c r="E37" i="4"/>
  <c r="D36" i="4"/>
  <c r="E36" i="4"/>
  <c r="D35" i="4"/>
  <c r="E35" i="4"/>
  <c r="D34" i="4"/>
  <c r="E34" i="4"/>
  <c r="D33" i="4"/>
  <c r="E33" i="4"/>
  <c r="K52" i="4"/>
  <c r="L52" i="4"/>
  <c r="K51" i="4"/>
  <c r="L51" i="4"/>
  <c r="K50" i="4"/>
  <c r="L50" i="4"/>
  <c r="K49" i="4"/>
  <c r="L49" i="4"/>
  <c r="K48" i="4"/>
  <c r="L48" i="4"/>
  <c r="K47" i="4"/>
  <c r="L47" i="4"/>
  <c r="K46" i="4"/>
  <c r="L46" i="4"/>
  <c r="K45" i="4"/>
  <c r="L45" i="4"/>
  <c r="K44" i="4"/>
  <c r="L44" i="4"/>
  <c r="K43" i="4"/>
  <c r="L43" i="4"/>
  <c r="K42" i="4"/>
  <c r="L42" i="4"/>
  <c r="K41" i="4"/>
  <c r="L41" i="4"/>
  <c r="K40" i="4"/>
  <c r="L40" i="4"/>
  <c r="K39" i="4"/>
  <c r="L39" i="4"/>
  <c r="K38" i="4"/>
  <c r="L38" i="4"/>
  <c r="K37" i="4"/>
  <c r="L37" i="4"/>
  <c r="K36" i="4"/>
  <c r="L36" i="4"/>
  <c r="K35" i="4"/>
  <c r="L35" i="4"/>
  <c r="K34" i="4"/>
  <c r="L34" i="4"/>
  <c r="K33" i="4"/>
  <c r="L33" i="4"/>
  <c r="R52" i="4"/>
  <c r="S52" i="4"/>
  <c r="R51" i="4"/>
  <c r="S51" i="4"/>
  <c r="R50" i="4"/>
  <c r="S50" i="4"/>
  <c r="R49" i="4"/>
  <c r="S49" i="4"/>
  <c r="R48" i="4"/>
  <c r="S48" i="4"/>
  <c r="R47" i="4"/>
  <c r="S47" i="4"/>
  <c r="R46" i="4"/>
  <c r="S46" i="4"/>
  <c r="R45" i="4"/>
  <c r="S45" i="4"/>
  <c r="R44" i="4"/>
  <c r="S44" i="4"/>
  <c r="R43" i="4"/>
  <c r="S43" i="4"/>
  <c r="R42" i="4"/>
  <c r="S42" i="4"/>
  <c r="R41" i="4"/>
  <c r="S41" i="4"/>
  <c r="R40" i="4"/>
  <c r="S40" i="4"/>
  <c r="R39" i="4"/>
  <c r="S39" i="4"/>
  <c r="R38" i="4"/>
  <c r="S38" i="4"/>
  <c r="R37" i="4"/>
  <c r="S37" i="4"/>
  <c r="R36" i="4"/>
  <c r="S36" i="4"/>
  <c r="R35" i="4"/>
  <c r="S35" i="4"/>
  <c r="R34" i="4"/>
  <c r="S34" i="4"/>
  <c r="R33" i="4"/>
  <c r="S33" i="4"/>
  <c r="R23" i="4"/>
  <c r="S23" i="4"/>
  <c r="R22" i="4"/>
  <c r="S22" i="4"/>
  <c r="R21" i="4"/>
  <c r="S21" i="4"/>
  <c r="R20" i="4"/>
  <c r="S20" i="4"/>
  <c r="R19" i="4"/>
  <c r="S19" i="4"/>
  <c r="R18" i="4"/>
  <c r="S18" i="4"/>
  <c r="R17" i="4"/>
  <c r="S17" i="4"/>
  <c r="R16" i="4"/>
  <c r="S16" i="4"/>
  <c r="R15" i="4"/>
  <c r="S15" i="4"/>
  <c r="R14" i="4"/>
  <c r="S14" i="4"/>
  <c r="R13" i="4"/>
  <c r="S13" i="4"/>
  <c r="R12" i="4"/>
  <c r="S12" i="4"/>
  <c r="R11" i="4"/>
  <c r="S11" i="4"/>
  <c r="R10" i="4"/>
  <c r="S10" i="4"/>
  <c r="R9" i="4"/>
  <c r="S9" i="4"/>
  <c r="R8" i="4"/>
  <c r="S8" i="4"/>
  <c r="R7" i="4"/>
  <c r="S7" i="4"/>
  <c r="T7" i="4"/>
  <c r="R6" i="4"/>
  <c r="S6" i="4"/>
  <c r="R5" i="4"/>
  <c r="S5" i="4"/>
  <c r="R4" i="4"/>
  <c r="S4" i="4"/>
  <c r="K23" i="4"/>
  <c r="L23" i="4"/>
  <c r="K22" i="4"/>
  <c r="L22" i="4"/>
  <c r="K21" i="4"/>
  <c r="L21" i="4"/>
  <c r="K20" i="4"/>
  <c r="L20" i="4"/>
  <c r="K19" i="4"/>
  <c r="L19" i="4"/>
  <c r="K18" i="4"/>
  <c r="L18" i="4"/>
  <c r="K17" i="4"/>
  <c r="L17" i="4"/>
  <c r="K16" i="4"/>
  <c r="L16" i="4"/>
  <c r="K15" i="4"/>
  <c r="L15" i="4"/>
  <c r="K14" i="4"/>
  <c r="L14" i="4"/>
  <c r="K13" i="4"/>
  <c r="L13" i="4"/>
  <c r="K12" i="4"/>
  <c r="L12" i="4"/>
  <c r="K11" i="4"/>
  <c r="L11" i="4"/>
  <c r="K10" i="4"/>
  <c r="L10" i="4"/>
  <c r="K9" i="4"/>
  <c r="L9" i="4"/>
  <c r="K8" i="4"/>
  <c r="L8" i="4"/>
  <c r="K7" i="4"/>
  <c r="L7" i="4"/>
  <c r="M7" i="4"/>
  <c r="K6" i="4"/>
  <c r="L6" i="4"/>
  <c r="K5" i="4"/>
  <c r="L5" i="4"/>
  <c r="K4" i="4"/>
  <c r="L4" i="4"/>
  <c r="D23" i="4"/>
  <c r="E23" i="4"/>
  <c r="D22" i="4"/>
  <c r="E22" i="4"/>
  <c r="D21" i="4"/>
  <c r="E21" i="4"/>
  <c r="D20" i="4"/>
  <c r="E20" i="4"/>
  <c r="D19" i="4"/>
  <c r="E19" i="4"/>
  <c r="D18" i="4"/>
  <c r="E18" i="4"/>
  <c r="D17" i="4"/>
  <c r="E17" i="4"/>
  <c r="D16" i="4"/>
  <c r="E16" i="4"/>
  <c r="D15" i="4"/>
  <c r="E15" i="4"/>
  <c r="D14" i="4"/>
  <c r="E14" i="4"/>
  <c r="D13" i="4"/>
  <c r="E13" i="4"/>
  <c r="D12" i="4"/>
  <c r="E12" i="4"/>
  <c r="D10" i="4"/>
  <c r="E10" i="4"/>
  <c r="D9" i="4"/>
  <c r="E9" i="4"/>
  <c r="D8" i="4"/>
  <c r="E8" i="4"/>
  <c r="D7" i="4"/>
  <c r="E7" i="4"/>
  <c r="F7" i="4"/>
  <c r="D4" i="4"/>
  <c r="E4" i="4"/>
  <c r="F4" i="4"/>
  <c r="D5" i="4"/>
  <c r="E5" i="4"/>
  <c r="F5" i="4"/>
  <c r="D6" i="4"/>
  <c r="D11" i="4"/>
  <c r="E6" i="4"/>
  <c r="F6" i="4"/>
  <c r="F8" i="4"/>
  <c r="F9" i="4"/>
  <c r="F10" i="4"/>
  <c r="E11" i="4"/>
  <c r="F11" i="4"/>
  <c r="F12" i="4"/>
  <c r="F13" i="4"/>
  <c r="F14" i="4"/>
  <c r="F15" i="4"/>
  <c r="F16" i="4"/>
  <c r="F17" i="4"/>
  <c r="F18" i="4"/>
  <c r="F19" i="4"/>
  <c r="F20" i="4"/>
  <c r="F21" i="4"/>
  <c r="F22" i="4"/>
  <c r="F23" i="4"/>
  <c r="F24" i="4"/>
  <c r="E24" i="4"/>
  <c r="D23" i="1"/>
  <c r="A9" i="11"/>
  <c r="E8" i="11"/>
  <c r="F8" i="11"/>
  <c r="F7" i="11"/>
  <c r="D53" i="1"/>
  <c r="D25" i="1" s="1"/>
  <c r="D27" i="1" s="1"/>
  <c r="B20" i="8"/>
  <c r="F33" i="4"/>
  <c r="T4" i="4"/>
  <c r="T5" i="4"/>
  <c r="T6" i="4"/>
  <c r="T10" i="4"/>
  <c r="T11" i="4"/>
  <c r="T12" i="4"/>
  <c r="T13" i="4"/>
  <c r="T14" i="4"/>
  <c r="T15" i="4"/>
  <c r="T16" i="4"/>
  <c r="T17" i="4"/>
  <c r="T18" i="4"/>
  <c r="T19" i="4"/>
  <c r="T20" i="4"/>
  <c r="T21" i="4"/>
  <c r="T22" i="4"/>
  <c r="T23" i="4"/>
  <c r="T8" i="4"/>
  <c r="T9" i="4"/>
  <c r="F53" i="1"/>
  <c r="F56" i="1" s="1"/>
  <c r="F51" i="1"/>
  <c r="F52" i="1"/>
  <c r="F31" i="1"/>
  <c r="F33" i="1" s="1"/>
  <c r="F34" i="1" s="1"/>
  <c r="F55" i="1" s="1"/>
  <c r="F30" i="1"/>
  <c r="F32" i="1"/>
  <c r="F47" i="1"/>
  <c r="F48" i="1"/>
  <c r="D24" i="1"/>
  <c r="D26" i="1"/>
  <c r="F41" i="1"/>
  <c r="F26" i="1"/>
  <c r="F24" i="1"/>
  <c r="F43" i="1"/>
  <c r="F42" i="1"/>
  <c r="F44" i="1"/>
  <c r="F45" i="1"/>
  <c r="F50" i="1"/>
  <c r="F46" i="1"/>
  <c r="F19" i="1"/>
  <c r="F62" i="1"/>
  <c r="F60" i="1"/>
  <c r="B35" i="2"/>
  <c r="F61" i="1"/>
  <c r="F63" i="1"/>
  <c r="M4" i="4"/>
  <c r="M5" i="4"/>
  <c r="M6" i="4"/>
  <c r="M8" i="4"/>
  <c r="M9" i="4"/>
  <c r="M10" i="4"/>
  <c r="M11" i="4"/>
  <c r="M12" i="4"/>
  <c r="M13" i="4"/>
  <c r="M14" i="4"/>
  <c r="M15" i="4"/>
  <c r="M16" i="4"/>
  <c r="M17" i="4"/>
  <c r="M18" i="4"/>
  <c r="M19" i="4"/>
  <c r="M20" i="4"/>
  <c r="M21" i="4"/>
  <c r="M22" i="4"/>
  <c r="M23" i="4"/>
  <c r="E53" i="1"/>
  <c r="E25" i="1" s="1"/>
  <c r="E27" i="1" s="1"/>
  <c r="E24" i="1"/>
  <c r="E26" i="1"/>
  <c r="E19" i="1"/>
  <c r="E62" i="1"/>
  <c r="E60" i="1"/>
  <c r="E61" i="1"/>
  <c r="E63" i="1"/>
  <c r="D19" i="1"/>
  <c r="D62" i="1"/>
  <c r="D60" i="1"/>
  <c r="D61" i="1"/>
  <c r="D63" i="1"/>
  <c r="F24" i="5"/>
  <c r="E24" i="5"/>
  <c r="D24" i="5"/>
  <c r="F34" i="4"/>
  <c r="F35" i="4"/>
  <c r="F36" i="4"/>
  <c r="F37" i="4"/>
  <c r="F38" i="4"/>
  <c r="F39" i="4"/>
  <c r="F40" i="4"/>
  <c r="F41" i="4"/>
  <c r="F42" i="4"/>
  <c r="F43" i="4"/>
  <c r="F44" i="4"/>
  <c r="F45" i="4"/>
  <c r="F46" i="4"/>
  <c r="F47" i="4"/>
  <c r="F48" i="4"/>
  <c r="F49" i="4"/>
  <c r="F50" i="4"/>
  <c r="F51" i="4"/>
  <c r="F52" i="4"/>
  <c r="F53" i="4"/>
  <c r="E53" i="4"/>
  <c r="D23" i="5"/>
  <c r="D26" i="5"/>
  <c r="D25" i="5"/>
  <c r="D27" i="5"/>
  <c r="T52" i="4"/>
  <c r="T51" i="4"/>
  <c r="T50" i="4"/>
  <c r="T49" i="4"/>
  <c r="T48" i="4"/>
  <c r="T47" i="4"/>
  <c r="T46" i="4"/>
  <c r="T45" i="4"/>
  <c r="T44" i="4"/>
  <c r="T43" i="4"/>
  <c r="T42" i="4"/>
  <c r="T41" i="4"/>
  <c r="T40" i="4"/>
  <c r="T39" i="4"/>
  <c r="T38" i="4"/>
  <c r="T37" i="4"/>
  <c r="T36" i="4"/>
  <c r="T35" i="4"/>
  <c r="T34" i="4"/>
  <c r="T33" i="4"/>
  <c r="M52" i="4"/>
  <c r="M51" i="4"/>
  <c r="M50" i="4"/>
  <c r="M49" i="4"/>
  <c r="M48" i="4"/>
  <c r="M47" i="4"/>
  <c r="M46" i="4"/>
  <c r="M45" i="4"/>
  <c r="M44" i="4"/>
  <c r="M43" i="4"/>
  <c r="M42" i="4"/>
  <c r="M41" i="4"/>
  <c r="M40" i="4"/>
  <c r="M39" i="4"/>
  <c r="M38" i="4"/>
  <c r="M37" i="4"/>
  <c r="M36" i="4"/>
  <c r="M33" i="4"/>
  <c r="M34" i="4"/>
  <c r="M35" i="4"/>
  <c r="M53" i="4"/>
  <c r="L53" i="4"/>
  <c r="E23" i="5"/>
  <c r="F19" i="5"/>
  <c r="F62" i="5"/>
  <c r="F60" i="5"/>
  <c r="F61" i="5"/>
  <c r="F63" i="5"/>
  <c r="E19" i="5"/>
  <c r="E62" i="5"/>
  <c r="E60" i="5"/>
  <c r="E61" i="5"/>
  <c r="E63" i="5"/>
  <c r="D19" i="5"/>
  <c r="D62" i="5"/>
  <c r="D60" i="5"/>
  <c r="D61" i="5"/>
  <c r="D63" i="5"/>
  <c r="Q53" i="4"/>
  <c r="J53" i="4"/>
  <c r="C53" i="4"/>
  <c r="C24" i="4"/>
  <c r="J24" i="4"/>
  <c r="Q24" i="4"/>
  <c r="P30" i="4"/>
  <c r="I30" i="4"/>
  <c r="B30" i="4"/>
  <c r="P1" i="4"/>
  <c r="I1" i="4"/>
  <c r="B1" i="4"/>
  <c r="F25" i="5"/>
  <c r="E25" i="5"/>
  <c r="E26" i="5"/>
  <c r="F26" i="5"/>
  <c r="B36" i="2"/>
  <c r="F37" i="5"/>
  <c r="E37" i="5"/>
  <c r="D37" i="5"/>
  <c r="F37" i="1"/>
  <c r="E37" i="1"/>
  <c r="D37" i="1"/>
  <c r="E9" i="11"/>
  <c r="F9" i="11"/>
  <c r="A10" i="11"/>
  <c r="G3" i="11"/>
  <c r="T53" i="4"/>
  <c r="S53" i="4"/>
  <c r="F23" i="5"/>
  <c r="F27" i="5"/>
  <c r="E27" i="5"/>
  <c r="E20" i="5"/>
  <c r="E10" i="11"/>
  <c r="F10" i="11"/>
  <c r="A11" i="11"/>
  <c r="G4" i="11"/>
  <c r="A12" i="11"/>
  <c r="E11" i="11"/>
  <c r="F11" i="11"/>
  <c r="G5" i="11"/>
  <c r="A13" i="11"/>
  <c r="E12" i="11"/>
  <c r="F12" i="11"/>
  <c r="G6" i="11"/>
  <c r="E13" i="11"/>
  <c r="F13" i="11"/>
  <c r="A14" i="11"/>
  <c r="G7" i="11"/>
  <c r="E14" i="11"/>
  <c r="F14" i="11"/>
  <c r="A15" i="11"/>
  <c r="G8" i="11"/>
  <c r="A16" i="11"/>
  <c r="E15" i="11"/>
  <c r="F15" i="11"/>
  <c r="G9" i="11"/>
  <c r="A17" i="11"/>
  <c r="E16" i="11"/>
  <c r="F16" i="11"/>
  <c r="G10" i="11"/>
  <c r="E17" i="11"/>
  <c r="F17" i="11"/>
  <c r="A18" i="11"/>
  <c r="G11" i="11"/>
  <c r="E18" i="11"/>
  <c r="F18" i="11"/>
  <c r="A19" i="11"/>
  <c r="G12" i="11"/>
  <c r="A20" i="11"/>
  <c r="E19" i="11"/>
  <c r="F19" i="11"/>
  <c r="G13" i="11"/>
  <c r="A21" i="11"/>
  <c r="E20" i="11"/>
  <c r="F20" i="11"/>
  <c r="G14" i="11"/>
  <c r="A22" i="11"/>
  <c r="E21" i="11"/>
  <c r="F21" i="11"/>
  <c r="G15" i="11"/>
  <c r="A23" i="11"/>
  <c r="E22" i="11"/>
  <c r="F22" i="11"/>
  <c r="G16" i="11"/>
  <c r="A24" i="11"/>
  <c r="E23" i="11"/>
  <c r="F23" i="11"/>
  <c r="G17" i="11"/>
  <c r="A25" i="11"/>
  <c r="E24" i="11"/>
  <c r="F24" i="11"/>
  <c r="G18" i="11"/>
  <c r="A26" i="11"/>
  <c r="E25" i="11"/>
  <c r="F25" i="11"/>
  <c r="G19" i="11"/>
  <c r="A27" i="11"/>
  <c r="E26" i="11"/>
  <c r="F26" i="11"/>
  <c r="G20" i="11"/>
  <c r="A28" i="11"/>
  <c r="E27" i="11"/>
  <c r="F27" i="11"/>
  <c r="G21" i="11"/>
  <c r="A29" i="11"/>
  <c r="E28" i="11"/>
  <c r="F28" i="11"/>
  <c r="G22" i="11"/>
  <c r="E29" i="11"/>
  <c r="A30" i="11"/>
  <c r="F29" i="11"/>
  <c r="G23" i="11"/>
  <c r="E30" i="11"/>
  <c r="F30" i="11"/>
  <c r="A31" i="11"/>
  <c r="G24" i="11"/>
  <c r="A32" i="11"/>
  <c r="E31" i="11"/>
  <c r="F31" i="11"/>
  <c r="G25" i="11"/>
  <c r="A33" i="11"/>
  <c r="E32" i="11"/>
  <c r="F32" i="11"/>
  <c r="G26" i="11"/>
  <c r="A34" i="11"/>
  <c r="E33" i="11"/>
  <c r="F33" i="11"/>
  <c r="G27" i="11"/>
  <c r="A35" i="11"/>
  <c r="E34" i="11"/>
  <c r="F34" i="11"/>
  <c r="G28" i="11"/>
  <c r="A36" i="11"/>
  <c r="E35" i="11"/>
  <c r="F35" i="11"/>
  <c r="G29" i="11"/>
  <c r="A37" i="11"/>
  <c r="E36" i="11"/>
  <c r="F36" i="11"/>
  <c r="G31" i="11"/>
  <c r="G30" i="11"/>
  <c r="A38" i="11"/>
  <c r="E37" i="11"/>
  <c r="F37" i="11"/>
  <c r="G32" i="11"/>
  <c r="E38" i="11"/>
  <c r="F38" i="11"/>
  <c r="A39" i="11"/>
  <c r="G33" i="11"/>
  <c r="A40" i="11"/>
  <c r="E39" i="11"/>
  <c r="F39" i="11"/>
  <c r="G34" i="11"/>
  <c r="A41" i="11"/>
  <c r="E40" i="11"/>
  <c r="F40" i="11"/>
  <c r="G35" i="11"/>
  <c r="A42" i="11"/>
  <c r="E41" i="11"/>
  <c r="F41" i="11"/>
  <c r="G36" i="11"/>
  <c r="A43" i="11"/>
  <c r="E42" i="11"/>
  <c r="F42" i="11"/>
  <c r="G37" i="11"/>
  <c r="A44" i="11"/>
  <c r="E43" i="11"/>
  <c r="F43" i="11"/>
  <c r="G38" i="11"/>
  <c r="A45" i="11"/>
  <c r="E44" i="11"/>
  <c r="F44" i="11"/>
  <c r="G39" i="11"/>
  <c r="A46" i="11"/>
  <c r="E45" i="11"/>
  <c r="F45" i="11"/>
  <c r="G40" i="11"/>
  <c r="A47" i="11"/>
  <c r="E46" i="11"/>
  <c r="F46" i="11"/>
  <c r="G41" i="11"/>
  <c r="A48" i="11"/>
  <c r="E47" i="11"/>
  <c r="F47" i="11"/>
  <c r="G42" i="11"/>
  <c r="A49" i="11"/>
  <c r="E48" i="11"/>
  <c r="F48" i="11"/>
  <c r="G43" i="11"/>
  <c r="E49" i="11"/>
  <c r="F49" i="11"/>
  <c r="A50" i="11"/>
  <c r="G44" i="11"/>
  <c r="A51" i="11"/>
  <c r="E50" i="11"/>
  <c r="F50" i="11"/>
  <c r="G45" i="11"/>
  <c r="A52" i="11"/>
  <c r="E51" i="11"/>
  <c r="F51" i="11"/>
  <c r="G46" i="11"/>
  <c r="A53" i="11"/>
  <c r="E52" i="11"/>
  <c r="F52" i="11"/>
  <c r="G47" i="11"/>
  <c r="A54" i="11"/>
  <c r="E53" i="11"/>
  <c r="F53" i="11"/>
  <c r="G48" i="11"/>
  <c r="A55" i="11"/>
  <c r="E54" i="11"/>
  <c r="F54" i="11"/>
  <c r="G49" i="11"/>
  <c r="A56" i="11"/>
  <c r="E55" i="11"/>
  <c r="F55" i="11"/>
  <c r="G50" i="11"/>
  <c r="A57" i="11"/>
  <c r="E56" i="11"/>
  <c r="F56" i="11"/>
  <c r="G51" i="11"/>
  <c r="A58" i="11"/>
  <c r="E57" i="11"/>
  <c r="F57" i="11"/>
  <c r="G52" i="11"/>
  <c r="A59" i="11"/>
  <c r="E58" i="11"/>
  <c r="F58" i="11"/>
  <c r="G53" i="11"/>
  <c r="A60" i="11"/>
  <c r="E59" i="11"/>
  <c r="F59" i="11"/>
  <c r="G54" i="11"/>
  <c r="A61" i="11"/>
  <c r="E60" i="11"/>
  <c r="F60" i="11"/>
  <c r="G55" i="11"/>
  <c r="E61" i="11"/>
  <c r="A62" i="11"/>
  <c r="F61" i="11"/>
  <c r="G56" i="11"/>
  <c r="A63" i="11"/>
  <c r="E62" i="11"/>
  <c r="F62" i="11"/>
  <c r="G57" i="11"/>
  <c r="A64" i="11"/>
  <c r="E63" i="11"/>
  <c r="F63" i="11"/>
  <c r="G58" i="11"/>
  <c r="A65" i="11"/>
  <c r="E64" i="11"/>
  <c r="F64" i="11"/>
  <c r="G59" i="11"/>
  <c r="A66" i="11"/>
  <c r="E65" i="11"/>
  <c r="F65" i="11"/>
  <c r="G60" i="11"/>
  <c r="A67" i="11"/>
  <c r="E66" i="11"/>
  <c r="F66" i="11"/>
  <c r="G61" i="11"/>
  <c r="A68" i="11"/>
  <c r="E67" i="11"/>
  <c r="F67" i="11"/>
  <c r="G62" i="11"/>
  <c r="A69" i="11"/>
  <c r="E68" i="11"/>
  <c r="F68" i="11"/>
  <c r="G63" i="11"/>
  <c r="A70" i="11"/>
  <c r="E69" i="11"/>
  <c r="F69" i="11"/>
  <c r="G64" i="11"/>
  <c r="E70" i="11"/>
  <c r="F70" i="11"/>
  <c r="A71" i="11"/>
  <c r="G65" i="11"/>
  <c r="A72" i="11"/>
  <c r="E71" i="11"/>
  <c r="F71" i="11"/>
  <c r="G66" i="11"/>
  <c r="A73" i="11"/>
  <c r="E72" i="11"/>
  <c r="F72" i="11"/>
  <c r="G67" i="11"/>
  <c r="A74" i="11"/>
  <c r="E73" i="11"/>
  <c r="F73" i="11"/>
  <c r="G68" i="11"/>
  <c r="A75" i="11"/>
  <c r="E74" i="11"/>
  <c r="F74" i="11"/>
  <c r="G69" i="11"/>
  <c r="A76" i="11"/>
  <c r="E75" i="11"/>
  <c r="F75" i="11"/>
  <c r="G70" i="11"/>
  <c r="A77" i="11"/>
  <c r="E76" i="11"/>
  <c r="F76" i="11"/>
  <c r="G71" i="11"/>
  <c r="A78" i="11"/>
  <c r="E77" i="11"/>
  <c r="F77" i="11"/>
  <c r="G72" i="11"/>
  <c r="A79" i="11"/>
  <c r="E78" i="11"/>
  <c r="F78" i="11"/>
  <c r="G73" i="11"/>
  <c r="A80" i="11"/>
  <c r="E79" i="11"/>
  <c r="F79" i="11"/>
  <c r="G74" i="11"/>
  <c r="A81" i="11"/>
  <c r="E80" i="11"/>
  <c r="F80" i="11"/>
  <c r="G75" i="11"/>
  <c r="E81" i="11"/>
  <c r="F81" i="11"/>
  <c r="A82" i="11"/>
  <c r="G76" i="11"/>
  <c r="A83" i="11"/>
  <c r="E82" i="11"/>
  <c r="F82" i="11"/>
  <c r="G77" i="11"/>
  <c r="A84" i="11"/>
  <c r="E83" i="11"/>
  <c r="F83" i="11"/>
  <c r="G78" i="11"/>
  <c r="A85" i="11"/>
  <c r="E84" i="11"/>
  <c r="F84" i="11"/>
  <c r="G79" i="11"/>
  <c r="E85" i="11"/>
  <c r="F85" i="11"/>
  <c r="A86" i="11"/>
  <c r="G80" i="11"/>
  <c r="A87" i="11"/>
  <c r="E86" i="11"/>
  <c r="F86" i="11"/>
  <c r="G81" i="11"/>
  <c r="A88" i="11"/>
  <c r="E87" i="11"/>
  <c r="F87" i="11"/>
  <c r="G82" i="11"/>
  <c r="A89" i="11"/>
  <c r="E88" i="11"/>
  <c r="F88" i="11"/>
  <c r="G83" i="11"/>
  <c r="A90" i="11"/>
  <c r="E89" i="11"/>
  <c r="F89" i="11"/>
  <c r="G84" i="11"/>
  <c r="A91" i="11"/>
  <c r="E90" i="11"/>
  <c r="F90" i="11"/>
  <c r="G85" i="11"/>
  <c r="A92" i="11"/>
  <c r="E91" i="11"/>
  <c r="F91" i="11"/>
  <c r="G86" i="11"/>
  <c r="A93" i="11"/>
  <c r="E92" i="11"/>
  <c r="F92" i="11"/>
  <c r="G87" i="11"/>
  <c r="E93" i="11"/>
  <c r="A94" i="11"/>
  <c r="F93" i="11"/>
  <c r="G88" i="11"/>
  <c r="A95" i="11"/>
  <c r="E94" i="11"/>
  <c r="F94" i="11"/>
  <c r="G89" i="11"/>
  <c r="A96" i="11"/>
  <c r="E95" i="11"/>
  <c r="F95" i="11"/>
  <c r="G90" i="11"/>
  <c r="A97" i="11"/>
  <c r="E96" i="11"/>
  <c r="F96" i="11"/>
  <c r="G91" i="11"/>
  <c r="A98" i="11"/>
  <c r="E97" i="11"/>
  <c r="F97" i="11"/>
  <c r="G92" i="11"/>
  <c r="A99" i="11"/>
  <c r="E98" i="11"/>
  <c r="F98" i="11"/>
  <c r="G93" i="11"/>
  <c r="A100" i="11"/>
  <c r="E99" i="11"/>
  <c r="F99" i="11"/>
  <c r="G94" i="11"/>
  <c r="A101" i="11"/>
  <c r="E100" i="11"/>
  <c r="F100" i="11"/>
  <c r="G95" i="11"/>
  <c r="A102" i="11"/>
  <c r="E101" i="11"/>
  <c r="F101" i="11"/>
  <c r="G96" i="11"/>
  <c r="E102" i="11"/>
  <c r="F102" i="11"/>
  <c r="A103" i="11"/>
  <c r="G97" i="11"/>
  <c r="A104" i="11"/>
  <c r="E103" i="11"/>
  <c r="F103" i="11"/>
  <c r="G98" i="11"/>
  <c r="A105" i="11"/>
  <c r="E104" i="11"/>
  <c r="F104" i="11"/>
  <c r="G99" i="11"/>
  <c r="E105" i="11"/>
  <c r="F105" i="11"/>
  <c r="A106" i="11"/>
  <c r="G100" i="11"/>
  <c r="A107" i="11"/>
  <c r="E106" i="11"/>
  <c r="F106" i="11"/>
  <c r="G101" i="11"/>
  <c r="A108" i="11"/>
  <c r="E107" i="11"/>
  <c r="F107" i="11"/>
  <c r="G102" i="11"/>
  <c r="A109" i="11"/>
  <c r="E108" i="11"/>
  <c r="F108" i="11"/>
  <c r="G103" i="11"/>
  <c r="A110" i="11"/>
  <c r="E109" i="11"/>
  <c r="F109" i="11"/>
  <c r="G104" i="11"/>
  <c r="A111" i="11"/>
  <c r="E110" i="11"/>
  <c r="F110" i="11"/>
  <c r="G105" i="11"/>
  <c r="A112" i="11"/>
  <c r="E111" i="11"/>
  <c r="F111" i="11"/>
  <c r="G106" i="11"/>
  <c r="A113" i="11"/>
  <c r="E112" i="11"/>
  <c r="F112" i="11"/>
  <c r="G107" i="11"/>
  <c r="E113" i="11"/>
  <c r="F113" i="11"/>
  <c r="A114" i="11"/>
  <c r="G108" i="11"/>
  <c r="A115" i="11"/>
  <c r="E114" i="11"/>
  <c r="F114" i="11"/>
  <c r="G109" i="11"/>
  <c r="A116" i="11"/>
  <c r="E115" i="11"/>
  <c r="F115" i="11"/>
  <c r="G110" i="11"/>
  <c r="A117" i="11"/>
  <c r="E116" i="11"/>
  <c r="F116" i="11"/>
  <c r="G111" i="11"/>
  <c r="E117" i="11"/>
  <c r="F117" i="11"/>
  <c r="A118" i="11"/>
  <c r="G112" i="11"/>
  <c r="A119" i="11"/>
  <c r="E118" i="11"/>
  <c r="F118" i="11"/>
  <c r="G113" i="11"/>
  <c r="A120" i="11"/>
  <c r="E119" i="11"/>
  <c r="F119" i="11"/>
  <c r="G114" i="11"/>
  <c r="A121" i="11"/>
  <c r="E120" i="11"/>
  <c r="F120" i="11"/>
  <c r="G115" i="11"/>
  <c r="A122" i="11"/>
  <c r="E121" i="11"/>
  <c r="F121" i="11"/>
  <c r="G116" i="11"/>
  <c r="A123" i="11"/>
  <c r="E122" i="11"/>
  <c r="F122" i="11"/>
  <c r="G117" i="11"/>
  <c r="A124" i="11"/>
  <c r="E123" i="11"/>
  <c r="F123" i="11"/>
  <c r="G118" i="11"/>
  <c r="A125" i="11"/>
  <c r="E124" i="11"/>
  <c r="F124" i="11"/>
  <c r="G119" i="11"/>
  <c r="E125" i="11"/>
  <c r="A126" i="11"/>
  <c r="F125" i="11"/>
  <c r="G120" i="11"/>
  <c r="E126" i="11"/>
  <c r="F126" i="11"/>
  <c r="A127" i="11"/>
  <c r="G121" i="11"/>
  <c r="A128" i="11"/>
  <c r="E127" i="11"/>
  <c r="F127" i="11"/>
  <c r="G122" i="11"/>
  <c r="A129" i="11"/>
  <c r="E128" i="11"/>
  <c r="F128" i="11"/>
  <c r="G123" i="11"/>
  <c r="A130" i="11"/>
  <c r="E129" i="11"/>
  <c r="F129" i="11"/>
  <c r="G124" i="11"/>
  <c r="A131" i="11"/>
  <c r="E130" i="11"/>
  <c r="F130" i="11"/>
  <c r="G125" i="11"/>
  <c r="A132" i="11"/>
  <c r="E131" i="11"/>
  <c r="F131" i="11"/>
  <c r="G126" i="11"/>
  <c r="A133" i="11"/>
  <c r="E132" i="11"/>
  <c r="F132" i="11"/>
  <c r="G127" i="11"/>
  <c r="A134" i="11"/>
  <c r="E133" i="11"/>
  <c r="F133" i="11"/>
  <c r="G128" i="11"/>
  <c r="E134" i="11"/>
  <c r="F134" i="11"/>
  <c r="A135" i="11"/>
  <c r="G129" i="11"/>
  <c r="A136" i="11"/>
  <c r="E135" i="11"/>
  <c r="F135" i="11"/>
  <c r="G130" i="11"/>
  <c r="A137" i="11"/>
  <c r="E136" i="11"/>
  <c r="F136" i="11"/>
  <c r="G131" i="11"/>
  <c r="A138" i="11"/>
  <c r="E137" i="11"/>
  <c r="F137" i="11"/>
  <c r="G132" i="11"/>
  <c r="A139" i="11"/>
  <c r="E138" i="11"/>
  <c r="F138" i="11"/>
  <c r="G133" i="11"/>
  <c r="A140" i="11"/>
  <c r="E139" i="11"/>
  <c r="F139" i="11"/>
  <c r="G134" i="11"/>
  <c r="A141" i="11"/>
  <c r="E140" i="11"/>
  <c r="F140" i="11"/>
  <c r="G135" i="11"/>
  <c r="A142" i="11"/>
  <c r="E141" i="11"/>
  <c r="F141" i="11"/>
  <c r="G136" i="11"/>
  <c r="A143" i="11"/>
  <c r="E142" i="11"/>
  <c r="F142" i="11"/>
  <c r="G137" i="11"/>
  <c r="A144" i="11"/>
  <c r="E143" i="11"/>
  <c r="F143" i="11"/>
  <c r="G138" i="11"/>
  <c r="A145" i="11"/>
  <c r="E144" i="11"/>
  <c r="F144" i="11"/>
  <c r="G139" i="11"/>
  <c r="E145" i="11"/>
  <c r="F145" i="11"/>
  <c r="A146" i="11"/>
  <c r="G140" i="11"/>
  <c r="A147" i="11"/>
  <c r="E146" i="11"/>
  <c r="F146" i="11"/>
  <c r="G141" i="11"/>
  <c r="A148" i="11"/>
  <c r="E147" i="11"/>
  <c r="F147" i="11"/>
  <c r="G142" i="11"/>
  <c r="A149" i="11"/>
  <c r="E148" i="11"/>
  <c r="F148" i="11"/>
  <c r="G143" i="11"/>
  <c r="A150" i="11"/>
  <c r="E149" i="11"/>
  <c r="F149" i="11"/>
  <c r="G144" i="11"/>
  <c r="A151" i="11"/>
  <c r="E150" i="11"/>
  <c r="F150" i="11"/>
  <c r="G145" i="11"/>
  <c r="A152" i="11"/>
  <c r="E151" i="11"/>
  <c r="F151" i="11"/>
  <c r="G146" i="11"/>
  <c r="A153" i="11"/>
  <c r="E152" i="11"/>
  <c r="F152" i="11"/>
  <c r="G147" i="11"/>
  <c r="A154" i="11"/>
  <c r="E153" i="11"/>
  <c r="F153" i="11"/>
  <c r="G148" i="11"/>
  <c r="A155" i="11"/>
  <c r="E154" i="11"/>
  <c r="F154" i="11"/>
  <c r="G149" i="11"/>
  <c r="A156" i="11"/>
  <c r="E155" i="11"/>
  <c r="F155" i="11"/>
  <c r="G150" i="11"/>
  <c r="A157" i="11"/>
  <c r="E156" i="11"/>
  <c r="F156" i="11"/>
  <c r="G151" i="11"/>
  <c r="E157" i="11"/>
  <c r="A158" i="11"/>
  <c r="F157" i="11"/>
  <c r="G152" i="11"/>
  <c r="A159" i="11"/>
  <c r="E158" i="11"/>
  <c r="F158" i="11"/>
  <c r="G153" i="11"/>
  <c r="A160" i="11"/>
  <c r="E159" i="11"/>
  <c r="F159" i="11"/>
  <c r="G154" i="11"/>
  <c r="A161" i="11"/>
  <c r="E160" i="11"/>
  <c r="F160" i="11"/>
  <c r="G155" i="11"/>
  <c r="A162" i="11"/>
  <c r="E161" i="11"/>
  <c r="F161" i="11"/>
  <c r="G156" i="11"/>
  <c r="A163" i="11"/>
  <c r="E162" i="11"/>
  <c r="F162" i="11"/>
  <c r="G157" i="11"/>
  <c r="A164" i="11"/>
  <c r="E163" i="11"/>
  <c r="F163" i="11"/>
  <c r="G158" i="11"/>
  <c r="A165" i="11"/>
  <c r="E164" i="11"/>
  <c r="F164" i="11"/>
  <c r="G159" i="11"/>
  <c r="A166" i="11"/>
  <c r="E165" i="11"/>
  <c r="F165" i="11"/>
  <c r="G160" i="11"/>
  <c r="E166" i="11"/>
  <c r="F166" i="11"/>
  <c r="A167" i="11"/>
  <c r="G161" i="11"/>
  <c r="A168" i="11"/>
  <c r="E167" i="11"/>
  <c r="F167" i="11"/>
  <c r="G162" i="11"/>
  <c r="A169" i="11"/>
  <c r="E168" i="11"/>
  <c r="F168" i="11"/>
  <c r="G163" i="11"/>
  <c r="A170" i="11"/>
  <c r="E169" i="11"/>
  <c r="F169" i="11"/>
  <c r="G164" i="11"/>
  <c r="A171" i="11"/>
  <c r="E170" i="11"/>
  <c r="F170" i="11"/>
  <c r="G165" i="11"/>
  <c r="A172" i="11"/>
  <c r="E171" i="11"/>
  <c r="F171" i="11"/>
  <c r="G166" i="11"/>
  <c r="A173" i="11"/>
  <c r="E172" i="11"/>
  <c r="F172" i="11"/>
  <c r="G167" i="11"/>
  <c r="A174" i="11"/>
  <c r="E173" i="11"/>
  <c r="F173" i="11"/>
  <c r="G168" i="11"/>
  <c r="A175" i="11"/>
  <c r="E174" i="11"/>
  <c r="F174" i="11"/>
  <c r="G169" i="11"/>
  <c r="A176" i="11"/>
  <c r="E175" i="11"/>
  <c r="F175" i="11"/>
  <c r="G170" i="11"/>
  <c r="A177" i="11"/>
  <c r="E176" i="11"/>
  <c r="F176" i="11"/>
  <c r="G171" i="11"/>
  <c r="E177" i="11"/>
  <c r="F177" i="11"/>
  <c r="A178" i="11"/>
  <c r="G172" i="11"/>
  <c r="A179" i="11"/>
  <c r="E178" i="11"/>
  <c r="F178" i="11"/>
  <c r="G173" i="11"/>
  <c r="A180" i="11"/>
  <c r="E179" i="11"/>
  <c r="F179" i="11"/>
  <c r="G174" i="11"/>
  <c r="A181" i="11"/>
  <c r="E180" i="11"/>
  <c r="F180" i="11"/>
  <c r="G175" i="11"/>
  <c r="E181" i="11"/>
  <c r="F181" i="11"/>
  <c r="A182" i="11"/>
  <c r="G176" i="11"/>
  <c r="A183" i="11"/>
  <c r="E182" i="11"/>
  <c r="F182" i="11"/>
  <c r="G177" i="11"/>
  <c r="A184" i="11"/>
  <c r="E183" i="11"/>
  <c r="F183" i="11"/>
  <c r="G178" i="11"/>
  <c r="A185" i="11"/>
  <c r="E184" i="11"/>
  <c r="F184" i="11"/>
  <c r="G179" i="11"/>
  <c r="A186" i="11"/>
  <c r="E185" i="11"/>
  <c r="F185" i="11"/>
  <c r="G180" i="11"/>
  <c r="A187" i="11"/>
  <c r="E186" i="11"/>
  <c r="F186" i="11"/>
  <c r="G181" i="11"/>
  <c r="A188" i="11"/>
  <c r="E187" i="11"/>
  <c r="F187" i="11"/>
  <c r="G182" i="11"/>
  <c r="A189" i="11"/>
  <c r="E188" i="11"/>
  <c r="F188" i="11"/>
  <c r="G183" i="11"/>
  <c r="E189" i="11"/>
  <c r="F189" i="11"/>
  <c r="A190" i="11"/>
  <c r="G184" i="11"/>
  <c r="A191" i="11"/>
  <c r="E190" i="11"/>
  <c r="F190" i="11"/>
  <c r="G185" i="11"/>
  <c r="A192" i="11"/>
  <c r="E191" i="11"/>
  <c r="F191" i="11"/>
  <c r="G186" i="11"/>
  <c r="A193" i="11"/>
  <c r="E192" i="11"/>
  <c r="F192" i="11"/>
  <c r="G187" i="11"/>
  <c r="A194" i="11"/>
  <c r="E193" i="11"/>
  <c r="F193" i="11"/>
  <c r="G188" i="11"/>
  <c r="A195" i="11"/>
  <c r="E194" i="11"/>
  <c r="F194" i="11"/>
  <c r="G189" i="11"/>
  <c r="A196" i="11"/>
  <c r="E195" i="11"/>
  <c r="F195" i="11"/>
  <c r="G190" i="11"/>
  <c r="A197" i="11"/>
  <c r="E196" i="11"/>
  <c r="F196" i="11"/>
  <c r="G191" i="11"/>
  <c r="A198" i="11"/>
  <c r="E197" i="11"/>
  <c r="F197" i="11"/>
  <c r="G192" i="11"/>
  <c r="A199" i="11"/>
  <c r="E198" i="11"/>
  <c r="F198" i="11"/>
  <c r="G193" i="11"/>
  <c r="A200" i="11"/>
  <c r="E199" i="11"/>
  <c r="F199" i="11"/>
  <c r="G194" i="11"/>
  <c r="A201" i="11"/>
  <c r="E200" i="11"/>
  <c r="F200" i="11"/>
  <c r="G195" i="11"/>
  <c r="E201" i="11"/>
  <c r="F201" i="11"/>
  <c r="A202" i="11"/>
  <c r="G196" i="11"/>
  <c r="A203" i="11"/>
  <c r="E202" i="11"/>
  <c r="F202" i="11"/>
  <c r="G197" i="11"/>
  <c r="A204" i="11"/>
  <c r="E203" i="11"/>
  <c r="F203" i="11"/>
  <c r="G198" i="11"/>
  <c r="A205" i="11"/>
  <c r="E204" i="11"/>
  <c r="F204" i="11"/>
  <c r="G199" i="11"/>
  <c r="A206" i="11"/>
  <c r="E205" i="11"/>
  <c r="F205" i="11"/>
  <c r="G200" i="11"/>
  <c r="A207" i="11"/>
  <c r="E206" i="11"/>
  <c r="F206" i="11"/>
  <c r="G201" i="11"/>
  <c r="A208" i="11"/>
  <c r="E207" i="11"/>
  <c r="F207" i="11"/>
  <c r="G202" i="11"/>
  <c r="A209" i="11"/>
  <c r="E208" i="11"/>
  <c r="F208" i="11"/>
  <c r="G203" i="11"/>
  <c r="E209" i="11"/>
  <c r="F209" i="11"/>
  <c r="A210" i="11"/>
  <c r="G204" i="11"/>
  <c r="A211" i="11"/>
  <c r="E210" i="11"/>
  <c r="F210" i="11"/>
  <c r="G205" i="11"/>
  <c r="A212" i="11"/>
  <c r="E211" i="11"/>
  <c r="F211" i="11"/>
  <c r="G206" i="11"/>
  <c r="A213" i="11"/>
  <c r="E212" i="11"/>
  <c r="F212" i="11"/>
  <c r="G207" i="11"/>
  <c r="E213" i="11"/>
  <c r="F213" i="11"/>
  <c r="A214" i="11"/>
  <c r="G208" i="11"/>
  <c r="A215" i="11"/>
  <c r="E214" i="11"/>
  <c r="F214" i="11"/>
  <c r="G209" i="11"/>
  <c r="A216" i="11"/>
  <c r="E215" i="11"/>
  <c r="F215" i="11"/>
  <c r="G210" i="11"/>
  <c r="A217" i="11"/>
  <c r="E216" i="11"/>
  <c r="F216" i="11"/>
  <c r="G211" i="11"/>
  <c r="A218" i="11"/>
  <c r="E217" i="11"/>
  <c r="F217" i="11"/>
  <c r="G212" i="11"/>
  <c r="A219" i="11"/>
  <c r="E218" i="11"/>
  <c r="F218" i="11"/>
  <c r="G213" i="11"/>
  <c r="A220" i="11"/>
  <c r="E219" i="11"/>
  <c r="F219" i="11"/>
  <c r="G214" i="11"/>
  <c r="A221" i="11"/>
  <c r="E220" i="11"/>
  <c r="F220" i="11"/>
  <c r="G215" i="11"/>
  <c r="E221" i="11"/>
  <c r="A222" i="11"/>
  <c r="F221" i="11"/>
  <c r="G216" i="11"/>
  <c r="E222" i="11"/>
  <c r="F222" i="11"/>
  <c r="A223" i="11"/>
  <c r="G217" i="11"/>
  <c r="A224" i="11"/>
  <c r="E223" i="11"/>
  <c r="F223" i="11"/>
  <c r="G218" i="11"/>
  <c r="A225" i="11"/>
  <c r="E224" i="11"/>
  <c r="F224" i="11"/>
  <c r="G219" i="11"/>
  <c r="A226" i="11"/>
  <c r="E225" i="11"/>
  <c r="F225" i="11"/>
  <c r="G220" i="11"/>
  <c r="A227" i="11"/>
  <c r="E226" i="11"/>
  <c r="F226" i="11"/>
  <c r="G221" i="11"/>
  <c r="A228" i="11"/>
  <c r="E227" i="11"/>
  <c r="F227" i="11"/>
  <c r="G222" i="11"/>
  <c r="A229" i="11"/>
  <c r="E228" i="11"/>
  <c r="F228" i="11"/>
  <c r="G223" i="11"/>
  <c r="A230" i="11"/>
  <c r="E229" i="11"/>
  <c r="F229" i="11"/>
  <c r="G224" i="11"/>
  <c r="E230" i="11"/>
  <c r="F230" i="11"/>
  <c r="A231" i="11"/>
  <c r="G225" i="11"/>
  <c r="A232" i="11"/>
  <c r="E231" i="11"/>
  <c r="F231" i="11"/>
  <c r="G226" i="11"/>
  <c r="A233" i="11"/>
  <c r="E232" i="11"/>
  <c r="F232" i="11"/>
  <c r="G227" i="11"/>
  <c r="E233" i="11"/>
  <c r="A234" i="11"/>
  <c r="F233" i="11"/>
  <c r="G228" i="11"/>
  <c r="A235" i="11"/>
  <c r="E234" i="11"/>
  <c r="F234" i="11"/>
  <c r="G229" i="11"/>
  <c r="A236" i="11"/>
  <c r="E235" i="11"/>
  <c r="F235" i="11"/>
  <c r="G230" i="11"/>
  <c r="A237" i="11"/>
  <c r="E236" i="11"/>
  <c r="F236" i="11"/>
  <c r="G231" i="11"/>
  <c r="A238" i="11"/>
  <c r="E237" i="11"/>
  <c r="F237" i="11"/>
  <c r="G232" i="11"/>
  <c r="A239" i="11"/>
  <c r="E238" i="11"/>
  <c r="F238" i="11"/>
  <c r="G233" i="11"/>
  <c r="A240" i="11"/>
  <c r="E239" i="11"/>
  <c r="F239" i="11"/>
  <c r="G234" i="11"/>
  <c r="A241" i="11"/>
  <c r="E240" i="11"/>
  <c r="F240" i="11"/>
  <c r="G235" i="11"/>
  <c r="E241" i="11"/>
  <c r="F241" i="11"/>
  <c r="A242" i="11"/>
  <c r="G236" i="11"/>
  <c r="A243" i="11"/>
  <c r="E242" i="11"/>
  <c r="F242" i="11"/>
  <c r="G237" i="11"/>
  <c r="A244" i="11"/>
  <c r="E243" i="11"/>
  <c r="F243" i="11"/>
  <c r="G238" i="11"/>
  <c r="A245" i="11"/>
  <c r="E244" i="11"/>
  <c r="F244" i="11"/>
  <c r="G239" i="11"/>
  <c r="E245" i="11"/>
  <c r="F245" i="11"/>
  <c r="A246" i="11"/>
  <c r="G240" i="11"/>
  <c r="A247" i="11"/>
  <c r="E246" i="11"/>
  <c r="F246" i="11"/>
  <c r="G241" i="11"/>
  <c r="A248" i="11"/>
  <c r="E247" i="11"/>
  <c r="F247" i="11"/>
  <c r="G242" i="11"/>
  <c r="A249" i="11"/>
  <c r="E248" i="11"/>
  <c r="F248" i="11"/>
  <c r="G243" i="11"/>
  <c r="A250" i="11"/>
  <c r="E249" i="11"/>
  <c r="F249" i="11"/>
  <c r="G244" i="11"/>
  <c r="A251" i="11"/>
  <c r="E250" i="11"/>
  <c r="F250" i="11"/>
  <c r="G245" i="11"/>
  <c r="A252" i="11"/>
  <c r="E251" i="11"/>
  <c r="F251" i="11"/>
  <c r="G246" i="11"/>
  <c r="A253" i="11"/>
  <c r="E252" i="11"/>
  <c r="F252" i="11"/>
  <c r="G247" i="11"/>
  <c r="E253" i="11"/>
  <c r="A254" i="11"/>
  <c r="F253" i="11"/>
  <c r="G248" i="11"/>
  <c r="A255" i="11"/>
  <c r="E254" i="11"/>
  <c r="F254" i="11"/>
  <c r="G249" i="11"/>
  <c r="A256" i="11"/>
  <c r="E255" i="11"/>
  <c r="F255" i="11"/>
  <c r="G250" i="11"/>
  <c r="A257" i="11"/>
  <c r="E256" i="11"/>
  <c r="F256" i="11"/>
  <c r="G251" i="11"/>
  <c r="A258" i="11"/>
  <c r="E257" i="11"/>
  <c r="F257" i="11"/>
  <c r="G252" i="11"/>
  <c r="A259" i="11"/>
  <c r="E258" i="11"/>
  <c r="F258" i="11"/>
  <c r="G253" i="11"/>
  <c r="A260" i="11"/>
  <c r="E259" i="11"/>
  <c r="F259" i="11"/>
  <c r="G254" i="11"/>
  <c r="A261" i="11"/>
  <c r="E260" i="11"/>
  <c r="F260" i="11"/>
  <c r="G255" i="11"/>
  <c r="A262" i="11"/>
  <c r="E261" i="11"/>
  <c r="F261" i="11"/>
  <c r="G256" i="11"/>
  <c r="E262" i="11"/>
  <c r="F262" i="11"/>
  <c r="A263" i="11"/>
  <c r="G257" i="11"/>
  <c r="A264" i="11"/>
  <c r="E263" i="11"/>
  <c r="F263" i="11"/>
  <c r="G258" i="11"/>
  <c r="A265" i="11"/>
  <c r="E264" i="11"/>
  <c r="F264" i="11"/>
  <c r="G259" i="11"/>
  <c r="E265" i="11"/>
  <c r="A266" i="11"/>
  <c r="F265" i="11"/>
  <c r="G260" i="11"/>
  <c r="A267" i="11"/>
  <c r="E266" i="11"/>
  <c r="F266" i="11"/>
  <c r="G261" i="11"/>
  <c r="A268" i="11"/>
  <c r="E267" i="11"/>
  <c r="F267" i="11"/>
  <c r="G262" i="11"/>
  <c r="A269" i="11"/>
  <c r="E268" i="11"/>
  <c r="F268" i="11"/>
  <c r="G263" i="11"/>
  <c r="A270" i="11"/>
  <c r="E269" i="11"/>
  <c r="F269" i="11"/>
  <c r="G264" i="11"/>
  <c r="A271" i="11"/>
  <c r="E270" i="11"/>
  <c r="F270" i="11"/>
  <c r="G265" i="11"/>
  <c r="A272" i="11"/>
  <c r="E271" i="11"/>
  <c r="F271" i="11"/>
  <c r="G266" i="11"/>
  <c r="A273" i="11"/>
  <c r="E272" i="11"/>
  <c r="F272" i="11"/>
  <c r="G267" i="11"/>
  <c r="E273" i="11"/>
  <c r="F273" i="11"/>
  <c r="A274" i="11"/>
  <c r="G268" i="11"/>
  <c r="A275" i="11"/>
  <c r="E274" i="11"/>
  <c r="F274" i="11"/>
  <c r="G269" i="11"/>
  <c r="A276" i="11"/>
  <c r="E275" i="11"/>
  <c r="F275" i="11"/>
  <c r="G270" i="11"/>
  <c r="A277" i="11"/>
  <c r="E276" i="11"/>
  <c r="F276" i="11"/>
  <c r="G271" i="11"/>
  <c r="E277" i="11"/>
  <c r="F277" i="11"/>
  <c r="A278" i="11"/>
  <c r="G272" i="11"/>
  <c r="A279" i="11"/>
  <c r="E278" i="11"/>
  <c r="F278" i="11"/>
  <c r="G273" i="11"/>
  <c r="A280" i="11"/>
  <c r="E279" i="11"/>
  <c r="F279" i="11"/>
  <c r="G274" i="11"/>
  <c r="A281" i="11"/>
  <c r="E280" i="11"/>
  <c r="F280" i="11"/>
  <c r="G275" i="11"/>
  <c r="A282" i="11"/>
  <c r="E281" i="11"/>
  <c r="F281" i="11"/>
  <c r="G276" i="11"/>
  <c r="A283" i="11"/>
  <c r="E282" i="11"/>
  <c r="F282" i="11"/>
  <c r="G277" i="11"/>
  <c r="A284" i="11"/>
  <c r="E283" i="11"/>
  <c r="F283" i="11"/>
  <c r="G278" i="11"/>
  <c r="A285" i="11"/>
  <c r="E284" i="11"/>
  <c r="F284" i="11"/>
  <c r="G279" i="11"/>
  <c r="E285" i="11"/>
  <c r="A286" i="11"/>
  <c r="F285" i="11"/>
  <c r="G280" i="11"/>
  <c r="E286" i="11"/>
  <c r="F286" i="11"/>
  <c r="A287" i="11"/>
  <c r="G281" i="11"/>
  <c r="A288" i="11"/>
  <c r="E287" i="11"/>
  <c r="F287" i="11"/>
  <c r="G282" i="11"/>
  <c r="A289" i="11"/>
  <c r="E288" i="11"/>
  <c r="F288" i="11"/>
  <c r="G283" i="11"/>
  <c r="A290" i="11"/>
  <c r="E289" i="11"/>
  <c r="F289" i="11"/>
  <c r="G284" i="11"/>
  <c r="A291" i="11"/>
  <c r="E290" i="11"/>
  <c r="F290" i="11"/>
  <c r="G285" i="11"/>
  <c r="A292" i="11"/>
  <c r="E291" i="11"/>
  <c r="F291" i="11"/>
  <c r="G286" i="11"/>
  <c r="A293" i="11"/>
  <c r="E292" i="11"/>
  <c r="F292" i="11"/>
  <c r="G287" i="11"/>
  <c r="A294" i="11"/>
  <c r="E293" i="11"/>
  <c r="F293" i="11"/>
  <c r="G288" i="11"/>
  <c r="A295" i="11"/>
  <c r="E294" i="11"/>
  <c r="F294" i="11"/>
  <c r="G289" i="11"/>
  <c r="A296" i="11"/>
  <c r="E295" i="11"/>
  <c r="F295" i="11"/>
  <c r="G290" i="11"/>
  <c r="A297" i="11"/>
  <c r="E296" i="11"/>
  <c r="F296" i="11"/>
  <c r="G291" i="11"/>
  <c r="E297" i="11"/>
  <c r="A298" i="11"/>
  <c r="F297" i="11"/>
  <c r="G292" i="11"/>
  <c r="A299" i="11"/>
  <c r="E298" i="11"/>
  <c r="F298" i="11"/>
  <c r="G293" i="11"/>
  <c r="A300" i="11"/>
  <c r="E299" i="11"/>
  <c r="F299" i="11"/>
  <c r="G294" i="11"/>
  <c r="A301" i="11"/>
  <c r="E300" i="11"/>
  <c r="F300" i="11"/>
  <c r="G295" i="11"/>
  <c r="A302" i="11"/>
  <c r="E301" i="11"/>
  <c r="F301" i="11"/>
  <c r="G296" i="11"/>
  <c r="A303" i="11"/>
  <c r="E302" i="11"/>
  <c r="F302" i="11"/>
  <c r="G297" i="11"/>
  <c r="A304" i="11"/>
  <c r="E303" i="11"/>
  <c r="F303" i="11"/>
  <c r="G298" i="11"/>
  <c r="A305" i="11"/>
  <c r="E304" i="11"/>
  <c r="F304" i="11"/>
  <c r="G299" i="11"/>
  <c r="E305" i="11"/>
  <c r="F305" i="11"/>
  <c r="A306" i="11"/>
  <c r="G300" i="11"/>
  <c r="A307" i="11"/>
  <c r="E306" i="11"/>
  <c r="F306" i="11"/>
  <c r="G301" i="11"/>
  <c r="A308" i="11"/>
  <c r="E307" i="11"/>
  <c r="F307" i="11"/>
  <c r="G302" i="11"/>
  <c r="A309" i="11"/>
  <c r="E308" i="11"/>
  <c r="F308" i="11"/>
  <c r="G303" i="11"/>
  <c r="E309" i="11"/>
  <c r="F309" i="11"/>
  <c r="A310" i="11"/>
  <c r="G304" i="11"/>
  <c r="A311" i="11"/>
  <c r="E310" i="11"/>
  <c r="F310" i="11"/>
  <c r="G305" i="11"/>
  <c r="A312" i="11"/>
  <c r="E311" i="11"/>
  <c r="F311" i="11"/>
  <c r="G306" i="11"/>
  <c r="A313" i="11"/>
  <c r="E312" i="11"/>
  <c r="F312" i="11"/>
  <c r="G307" i="11"/>
  <c r="A314" i="11"/>
  <c r="E313" i="11"/>
  <c r="F313" i="11"/>
  <c r="G308" i="11"/>
  <c r="A315" i="11"/>
  <c r="E314" i="11"/>
  <c r="F314" i="11"/>
  <c r="G309" i="11"/>
  <c r="A316" i="11"/>
  <c r="E315" i="11"/>
  <c r="F315" i="11"/>
  <c r="G310" i="11"/>
  <c r="A317" i="11"/>
  <c r="E316" i="11"/>
  <c r="F316" i="11"/>
  <c r="G311" i="11"/>
  <c r="E317" i="11"/>
  <c r="F317" i="11"/>
  <c r="A318" i="11"/>
  <c r="G312" i="11"/>
  <c r="A319" i="11"/>
  <c r="E318" i="11"/>
  <c r="F318" i="11"/>
  <c r="G313" i="11"/>
  <c r="A320" i="11"/>
  <c r="E319" i="11"/>
  <c r="F319" i="11"/>
  <c r="G314" i="11"/>
  <c r="A321" i="11"/>
  <c r="E320" i="11"/>
  <c r="F320" i="11"/>
  <c r="G315" i="11"/>
  <c r="A322" i="11"/>
  <c r="E321" i="11"/>
  <c r="F321" i="11"/>
  <c r="G316" i="11"/>
  <c r="A323" i="11"/>
  <c r="E322" i="11"/>
  <c r="F322" i="11"/>
  <c r="G317" i="11"/>
  <c r="A324" i="11"/>
  <c r="E323" i="11"/>
  <c r="F323" i="11"/>
  <c r="G318" i="11"/>
  <c r="A325" i="11"/>
  <c r="E324" i="11"/>
  <c r="F324" i="11"/>
  <c r="G319" i="11"/>
  <c r="E325" i="11"/>
  <c r="F325" i="11"/>
  <c r="G320" i="11"/>
  <c r="G321" i="11"/>
  <c r="G322" i="11"/>
  <c r="G323" i="11"/>
  <c r="G324" i="11"/>
  <c r="G325" i="11"/>
  <c r="E56" i="5"/>
  <c r="F56" i="5"/>
  <c r="D56" i="5"/>
  <c r="F20" i="5"/>
  <c r="F67" i="5"/>
  <c r="D67" i="5"/>
  <c r="D20" i="5"/>
  <c r="D28" i="5"/>
  <c r="D36" i="5"/>
  <c r="D38" i="5"/>
  <c r="E67" i="5"/>
  <c r="F28" i="5"/>
  <c r="F36" i="5"/>
  <c r="F38" i="5"/>
  <c r="E28" i="5"/>
  <c r="E36" i="5"/>
  <c r="E38" i="5"/>
  <c r="T24" i="4"/>
  <c r="S24" i="4"/>
  <c r="F23" i="1"/>
  <c r="M24" i="4"/>
  <c r="L24" i="4"/>
  <c r="E23" i="1"/>
  <c r="F49" i="1"/>
  <c r="D55" i="1" l="1"/>
  <c r="E67" i="1"/>
  <c r="E28" i="1"/>
  <c r="E36" i="1" s="1"/>
  <c r="E38" i="1" s="1"/>
  <c r="E20" i="1"/>
  <c r="D28" i="1"/>
  <c r="D36" i="1" s="1"/>
  <c r="D38" i="1" s="1"/>
  <c r="D67" i="1"/>
  <c r="D20" i="1"/>
  <c r="D56" i="1"/>
  <c r="F25" i="1"/>
  <c r="F27" i="1" s="1"/>
  <c r="E56" i="1"/>
  <c r="F67" i="1" l="1"/>
  <c r="F20" i="1"/>
  <c r="F28" i="1"/>
  <c r="F36" i="1" s="1"/>
  <c r="F38" i="1" s="1"/>
</calcChain>
</file>

<file path=xl/comments1.xml><?xml version="1.0" encoding="utf-8"?>
<comments xmlns="http://schemas.openxmlformats.org/spreadsheetml/2006/main">
  <authors>
    <author/>
  </authors>
  <commentList>
    <comment ref="B2" authorId="0" shapeId="0">
      <text>
        <r>
          <rPr>
            <sz val="11"/>
            <color theme="1"/>
            <rFont val="Calibri"/>
            <family val="2"/>
            <scheme val="minor"/>
          </rPr>
          <t xml:space="preserve">Total duration of the skills and attacks entered below.  </t>
        </r>
      </text>
    </comment>
    <comment ref="C3" authorId="0" shapeId="0">
      <text>
        <r>
          <rPr>
            <sz val="11"/>
            <color theme="1"/>
            <rFont val="Calibri"/>
            <family val="2"/>
            <scheme val="minor"/>
          </rPr>
          <t>You can either add each skill once with the number of total casts or simply always use "1" and go through the steps of your rotation in descending order. Always one skill per second, heavy attacks onr or two seconds, depending on the weapon.</t>
        </r>
      </text>
    </comment>
    <comment ref="E3" authorId="0" shapeId="0">
      <text>
        <r>
          <rPr>
            <sz val="11"/>
            <color theme="1"/>
            <rFont val="Calibri"/>
            <family val="2"/>
            <scheme val="minor"/>
          </rPr>
          <t xml:space="preserve">Do not modify! </t>
        </r>
      </text>
    </comment>
    <comment ref="K3" authorId="0" shapeId="0">
      <text>
        <r>
          <rPr>
            <sz val="11"/>
            <color theme="1"/>
            <rFont val="Calibri"/>
            <family val="2"/>
            <scheme val="minor"/>
          </rPr>
          <t>Does this use the opposite resource? E.g. Reaming Trap on a Melee Magicka Setup. Tick as yes if it does.</t>
        </r>
      </text>
    </comment>
    <comment ref="B4" authorId="0" shapeId="0">
      <text>
        <r>
          <rPr>
            <sz val="11"/>
            <color theme="1"/>
            <rFont val="Calibri"/>
            <family val="2"/>
            <scheme val="minor"/>
          </rPr>
          <t>Some Morphs aren't filled out. simply use the base ability as the cost is the same.</t>
        </r>
      </text>
    </comment>
    <comment ref="I4" authorId="0" shapeId="0">
      <text>
        <r>
          <rPr>
            <sz val="11"/>
            <color theme="1"/>
            <rFont val="Calibri"/>
            <family val="2"/>
            <scheme val="minor"/>
          </rPr>
          <t>Some Morphs aren't filled out. simply use the base ability as the cost is the same.</t>
        </r>
      </text>
    </comment>
    <comment ref="P4" authorId="0" shapeId="0">
      <text>
        <r>
          <rPr>
            <sz val="11"/>
            <color theme="1"/>
            <rFont val="Calibri"/>
            <family val="2"/>
            <scheme val="minor"/>
          </rPr>
          <t>Some Morphs aren't filled out. simply use the base ability as the cost is the same.</t>
        </r>
      </text>
    </comment>
  </commentList>
</comments>
</file>

<file path=xl/comments2.xml><?xml version="1.0" encoding="utf-8"?>
<comments xmlns="http://schemas.openxmlformats.org/spreadsheetml/2006/main">
  <authors>
    <author/>
  </authors>
  <commentList>
    <comment ref="B16" authorId="0" shapeId="0">
      <text>
        <r>
          <rPr>
            <sz val="11"/>
            <color theme="1"/>
            <rFont val="Calibri"/>
            <family val="2"/>
            <scheme val="minor"/>
          </rPr>
          <t>This is important. Abilities and Light/Heavy Attacks have a 1 second global cooldown. But due to animations and delays in casting (imperfect weaving and skill activation for example), you'll never have one skill per second.
 So in order to get to the real resource drain, modify this value until it matches your drain. To determine your drain, i recommend using a full recovery setup with the same cost reduction buffs as your setup you want to test.</t>
        </r>
      </text>
    </comment>
    <comment ref="B40" authorId="0" shapeId="0">
      <text>
        <r>
          <rPr>
            <sz val="11"/>
            <color theme="1"/>
            <rFont val="Calibri"/>
            <family val="2"/>
            <scheme val="minor"/>
          </rPr>
          <t>You can toggle these on and off depending on your situation. They all assume recasting on cooldown, so this is an IDEAL scenario, so ingame it will be lower depending on your rotation, ultimate timing, synergy availability etc.</t>
        </r>
      </text>
    </comment>
  </commentList>
</comments>
</file>

<file path=xl/sharedStrings.xml><?xml version="1.0" encoding="utf-8"?>
<sst xmlns="http://schemas.openxmlformats.org/spreadsheetml/2006/main" count="1767" uniqueCount="367">
  <si>
    <t>Cost reduction (%)</t>
  </si>
  <si>
    <t>Cost reduction (flat)</t>
  </si>
  <si>
    <t>Base recovery</t>
  </si>
  <si>
    <t>Regen Bonuses (%)</t>
  </si>
  <si>
    <t>Regen Bonuses (flat)</t>
  </si>
  <si>
    <t>Recovery</t>
  </si>
  <si>
    <t>Sustain per second</t>
  </si>
  <si>
    <t>Vampire</t>
  </si>
  <si>
    <t>Nightblade</t>
  </si>
  <si>
    <t>Armor</t>
  </si>
  <si>
    <t>Glyphs</t>
  </si>
  <si>
    <t># of recovery glyphs</t>
  </si>
  <si>
    <t>Class</t>
  </si>
  <si>
    <t>Warden</t>
  </si>
  <si>
    <t>Dragonknight</t>
  </si>
  <si>
    <t>Sorcerer</t>
  </si>
  <si>
    <t>Templar</t>
  </si>
  <si>
    <t>Classes</t>
  </si>
  <si>
    <t>Sustain gain per second</t>
  </si>
  <si>
    <t>Race</t>
  </si>
  <si>
    <t>CR</t>
  </si>
  <si>
    <t>Mag Rec</t>
  </si>
  <si>
    <t>Stam Rec</t>
  </si>
  <si>
    <t>Spec</t>
  </si>
  <si>
    <t>Stamina</t>
  </si>
  <si>
    <t>Magicka</t>
  </si>
  <si>
    <t>Altmer</t>
  </si>
  <si>
    <t>Argonian</t>
  </si>
  <si>
    <t>Breton</t>
  </si>
  <si>
    <t>Dunmer</t>
  </si>
  <si>
    <t>Khajiit</t>
  </si>
  <si>
    <t>Redguard</t>
  </si>
  <si>
    <t>Bosmer</t>
  </si>
  <si>
    <t>Imperial</t>
  </si>
  <si>
    <t>Orc</t>
  </si>
  <si>
    <t>Nord</t>
  </si>
  <si>
    <t>Vampire?</t>
  </si>
  <si>
    <t># of recovery armor bonuses (count and add in Full Number, e.g. 1,2,3,4,5)</t>
  </si>
  <si>
    <t>Other Flat Cost Reduction Bonuses (add 5 piece cost reduction here)</t>
  </si>
  <si>
    <t>CP Recovery (copy value from CP tree)</t>
  </si>
  <si>
    <t>Sacrificed Spell damage with glyphs</t>
  </si>
  <si>
    <t># of cost reduction glyphs</t>
  </si>
  <si>
    <t>Other Flat Recovery Bonuses (add 5 piece recovery here, e.g. Amberplasm = 300)</t>
  </si>
  <si>
    <t>Mages Guild Skills</t>
  </si>
  <si>
    <t>Skill 1</t>
  </si>
  <si>
    <t>Skill 2</t>
  </si>
  <si>
    <t>Skill 3</t>
  </si>
  <si>
    <t>Skill 4</t>
  </si>
  <si>
    <t>Skill 5</t>
  </si>
  <si>
    <t>Skill 6</t>
  </si>
  <si>
    <t>Skill 7</t>
  </si>
  <si>
    <t>Skill 8</t>
  </si>
  <si>
    <t>Skill 9</t>
  </si>
  <si>
    <t>Skill 10</t>
  </si>
  <si>
    <t>Skill 11</t>
  </si>
  <si>
    <t>Skill 12</t>
  </si>
  <si>
    <t>Skill 13</t>
  </si>
  <si>
    <t>Skill 14</t>
  </si>
  <si>
    <t>How Often?</t>
  </si>
  <si>
    <t>Base Cost</t>
  </si>
  <si>
    <t>Skill</t>
  </si>
  <si>
    <t>Skill 15</t>
  </si>
  <si>
    <t>Total Duration in seconds</t>
  </si>
  <si>
    <t>Average Base Cost</t>
  </si>
  <si>
    <t>Source for Average Cost</t>
  </si>
  <si>
    <t>https://esoitem.uesp.net/viewSkills.php</t>
  </si>
  <si>
    <t>Average Base cost per second (Assuming 1 skill per second)</t>
  </si>
  <si>
    <t>Total Sustain gain per second (Cost reduction + Recovery)</t>
  </si>
  <si>
    <t>Ele drain</t>
  </si>
  <si>
    <t>Magicka Setup 1</t>
  </si>
  <si>
    <t xml:space="preserve"> Magicka Setup 2</t>
  </si>
  <si>
    <t>Magicka Setup 3</t>
  </si>
  <si>
    <t>Stamina Setup 1</t>
  </si>
  <si>
    <t>Stamina Setup 2</t>
  </si>
  <si>
    <t>Stamina Setup 3</t>
  </si>
  <si>
    <t>Surprise Attack</t>
  </si>
  <si>
    <t>Leeching Strikes</t>
  </si>
  <si>
    <t>Setup</t>
  </si>
  <si>
    <t>Destructive Clench</t>
  </si>
  <si>
    <t>Battle Roar</t>
  </si>
  <si>
    <t>Heavy Attacks per Rotation</t>
  </si>
  <si>
    <t>Elemental Rage</t>
  </si>
  <si>
    <t>Ultimate Generation on DK</t>
  </si>
  <si>
    <t>Ultimate Used on DK</t>
  </si>
  <si>
    <t>Weapon Used</t>
  </si>
  <si>
    <t>Heavy Attacks</t>
  </si>
  <si>
    <t xml:space="preserve">Orbs/Shards </t>
  </si>
  <si>
    <t>CP Recovery (copy integer value from CP tree)</t>
  </si>
  <si>
    <t>Total Gain</t>
  </si>
  <si>
    <t>Skill cost/Drain per second</t>
  </si>
  <si>
    <t>Average Base cost per second</t>
  </si>
  <si>
    <t>Drain Magicka Poison (30% Uptime)</t>
  </si>
  <si>
    <t>Ballista</t>
  </si>
  <si>
    <t>Bull Netch</t>
  </si>
  <si>
    <t>Drain Stamina Poison (30% Uptime)</t>
  </si>
  <si>
    <t>Redguard Passive</t>
  </si>
  <si>
    <t>Skill Speed (How many skills per second do you fire off? 1 maximum, 0 Minimum)</t>
  </si>
  <si>
    <t>Destruction Staff</t>
  </si>
  <si>
    <t>Restoration Staff</t>
  </si>
  <si>
    <t>Dual Wield</t>
  </si>
  <si>
    <t>Bow</t>
  </si>
  <si>
    <t>Two-Handed</t>
  </si>
  <si>
    <t>One-Handed and Shield</t>
  </si>
  <si>
    <t>Tenacity (copy Integer %-Value from CP Here</t>
  </si>
  <si>
    <t>Tenacity (Copy Integer %-Value from CP Here)</t>
  </si>
  <si>
    <t>CP</t>
  </si>
  <si>
    <t>Impact of Other Flat Sustain Boosts</t>
  </si>
  <si>
    <t>Impact of Heavy Attacks</t>
  </si>
  <si>
    <t>Data Insertion</t>
  </si>
  <si>
    <t>Net Result</t>
  </si>
  <si>
    <t>Other % Recovery Bonuses (add 5 piece or skill recovery here, e.g. 10% from magicka aid passive)</t>
  </si>
  <si>
    <t># of recovery armor bonuses (count them)</t>
  </si>
  <si>
    <t>Other Flat Recovery Bonuses (add 5 piece recovery here, e.g. Bone Pirate = 145)</t>
  </si>
  <si>
    <t>Other % Cost Reduction Bonuses (add 5 piece cost reduction here, e.g. VO= 8%)</t>
  </si>
  <si>
    <t>Net Recovery  / Drain</t>
  </si>
  <si>
    <t>Net Recovery  / Drain per Second</t>
  </si>
  <si>
    <t>Unbuffed Sustain (with Worm Cult if active)</t>
  </si>
  <si>
    <t>Unbuffed Sustain (with Hircine's Veneer if active)</t>
  </si>
  <si>
    <t>Heavy Armor Pieces</t>
  </si>
  <si>
    <t>Medium Armor Pieces</t>
  </si>
  <si>
    <t>Constitution Passive</t>
  </si>
  <si>
    <t>Ultimate Cost for DK</t>
  </si>
  <si>
    <t>Elemental Drain</t>
  </si>
  <si>
    <t>Impulse</t>
  </si>
  <si>
    <t>Standard of Might</t>
  </si>
  <si>
    <t>Magma Armor</t>
  </si>
  <si>
    <t>Leap</t>
  </si>
  <si>
    <t>Dawnbreaker</t>
  </si>
  <si>
    <t>Force Pulse/Crushing Shock</t>
  </si>
  <si>
    <t>Wall of Elements</t>
  </si>
  <si>
    <t>Blade Cloak</t>
  </si>
  <si>
    <t>Yes</t>
  </si>
  <si>
    <t>No</t>
  </si>
  <si>
    <t>Buff Activation</t>
  </si>
  <si>
    <t>Minor Intellect</t>
  </si>
  <si>
    <t>Skill Speed</t>
  </si>
  <si>
    <t>Impact of Cost Reduction  (DO NOT MODIFY HERE)</t>
  </si>
  <si>
    <t>Impact of Recovery (DO NOT MODIFY HERE)</t>
  </si>
  <si>
    <t>Potion (+ Argonian Resourceful if active)</t>
  </si>
  <si>
    <t>Hircine</t>
  </si>
  <si>
    <t>Worm Cult</t>
  </si>
  <si>
    <t>Other % Cost Reduction Bonuses (add 5 piece cost reduction here, e.g. Seducer = 8%)</t>
  </si>
  <si>
    <t>Other % Recovery Bonuses (add 5 piece or skill recovery here, e.g. werewolf ultimate 15%)</t>
  </si>
  <si>
    <t># of Heavy Armor Pieces</t>
  </si>
  <si>
    <t># of Light Armor Pieces</t>
  </si>
  <si>
    <t># of Mages guild skills</t>
  </si>
  <si>
    <t>Potion (+ Argonian Resourceful Passive if Active)</t>
  </si>
  <si>
    <t>Blue Betty (on Warden)</t>
  </si>
  <si>
    <t>Siphoning Attacks (on Nightblade)</t>
  </si>
  <si>
    <t>Channeled Focus (on Templar</t>
  </si>
  <si>
    <t>Battle Roar (on DK)</t>
  </si>
  <si>
    <t>Additional Sustain Sources (Per Second, on Cooldown)</t>
  </si>
  <si>
    <t>External Sustain from Group</t>
  </si>
  <si>
    <t>Molten Whip</t>
  </si>
  <si>
    <t>Venomous Claw</t>
  </si>
  <si>
    <t>Burning Embers</t>
  </si>
  <si>
    <t>Noxious Breath</t>
  </si>
  <si>
    <t>Engulfing Flames</t>
  </si>
  <si>
    <t>Empowering Chains</t>
  </si>
  <si>
    <t>Relentless Grip</t>
  </si>
  <si>
    <t>Flames of Oblivion</t>
  </si>
  <si>
    <t>Cauterize</t>
  </si>
  <si>
    <t>Volatile Armor</t>
  </si>
  <si>
    <t>Hardened Armor</t>
  </si>
  <si>
    <t>Burning/Choking Talons</t>
  </si>
  <si>
    <t>Coagulating Blood/Green Dragonblood</t>
  </si>
  <si>
    <t>Dragonscales</t>
  </si>
  <si>
    <t>Stonefist</t>
  </si>
  <si>
    <t>Molten Armaments/Igneous Weapons</t>
  </si>
  <si>
    <t>Igneous Shield/Eruptive Shield</t>
  </si>
  <si>
    <t>Flame Lash/Power Lash</t>
  </si>
  <si>
    <t>Fossilize</t>
  </si>
  <si>
    <t>Eruption</t>
  </si>
  <si>
    <t>Clannfear/Volatile Familiar</t>
  </si>
  <si>
    <t>Haunting Curse/Daedric Prey</t>
  </si>
  <si>
    <t>Twilight Matriarch</t>
  </si>
  <si>
    <t>Hardened Ward/Empowered Ward</t>
  </si>
  <si>
    <t>Crystal Blast</t>
  </si>
  <si>
    <t>Crystal Fragments (on proc)</t>
  </si>
  <si>
    <t>Rune Prison</t>
  </si>
  <si>
    <t>Dark Deal</t>
  </si>
  <si>
    <t>Mages Wrath/Endless Fury</t>
  </si>
  <si>
    <t>Boundless Storm</t>
  </si>
  <si>
    <t>Hurricane</t>
  </si>
  <si>
    <t>Liquid Lightning</t>
  </si>
  <si>
    <t>Power Surge/Crit Surge</t>
  </si>
  <si>
    <t>Streak/Ball of Lightning</t>
  </si>
  <si>
    <t>Dark Conversion</t>
  </si>
  <si>
    <t>Daedric Tomb/Minefield</t>
  </si>
  <si>
    <t>Restraining/Shattering Prison</t>
  </si>
  <si>
    <t>Impale</t>
  </si>
  <si>
    <t>Killers Blade</t>
  </si>
  <si>
    <t>Lotus Fan</t>
  </si>
  <si>
    <t>Ambush</t>
  </si>
  <si>
    <t>Mirage/Double Take</t>
  </si>
  <si>
    <t>Reaper's Mark</t>
  </si>
  <si>
    <t>Concealed Weapon</t>
  </si>
  <si>
    <t>Cloak</t>
  </si>
  <si>
    <t>Twisting/Refreshing Path</t>
  </si>
  <si>
    <t>Aspect of Terror</t>
  </si>
  <si>
    <t>Summon Shades</t>
  </si>
  <si>
    <t>Funnel Health/Swallow Soul</t>
  </si>
  <si>
    <t>Agony</t>
  </si>
  <si>
    <t>Prolonged Suffering/Crippling Grasp</t>
  </si>
  <si>
    <t>Siphoning Attacks</t>
  </si>
  <si>
    <t>Sap Essence</t>
  </si>
  <si>
    <t>Silver Leash/Silver Shards</t>
  </si>
  <si>
    <t>Circle of Protection</t>
  </si>
  <si>
    <t>Camouflaged/Evil Hunter</t>
  </si>
  <si>
    <t>Rearming Trap/Lightweight Trap</t>
  </si>
  <si>
    <t>Reflective Light/Vampire's Bane</t>
  </si>
  <si>
    <t>Solar Flare</t>
  </si>
  <si>
    <t>Backlash</t>
  </si>
  <si>
    <t>Eclipse</t>
  </si>
  <si>
    <t>Radiant Destruction/Oppression</t>
  </si>
  <si>
    <t>Puncturing Sweeps</t>
  </si>
  <si>
    <t>Biting Jabs</t>
  </si>
  <si>
    <t>Focused Charge</t>
  </si>
  <si>
    <t>Luminous Shards/Blazing Spear</t>
  </si>
  <si>
    <t>Sun Shield</t>
  </si>
  <si>
    <t>Breath of Life/Honour the Dead</t>
  </si>
  <si>
    <t>Healing Ritual</t>
  </si>
  <si>
    <t>Radiant Aura</t>
  </si>
  <si>
    <t>Extended Ritual/Ritual of Retribution</t>
  </si>
  <si>
    <t>Concentrated Focus</t>
  </si>
  <si>
    <t>Channeled Focus</t>
  </si>
  <si>
    <t>Healing Springs</t>
  </si>
  <si>
    <t>Rapid Regeneration/Mutagen</t>
  </si>
  <si>
    <t>Combat Prayer</t>
  </si>
  <si>
    <t>Healing Ward</t>
  </si>
  <si>
    <t>Force Siphon</t>
  </si>
  <si>
    <t>Lethal Arrow/Focused Aim</t>
  </si>
  <si>
    <t>Endless Hail/Arrow Barrage</t>
  </si>
  <si>
    <t>Scatter Shot</t>
  </si>
  <si>
    <t>Arrow Spray</t>
  </si>
  <si>
    <t>Poison Arrow</t>
  </si>
  <si>
    <t>Razor Caltrops</t>
  </si>
  <si>
    <t>Resolving/Echoing Vigor</t>
  </si>
  <si>
    <t>Proximity Detonation</t>
  </si>
  <si>
    <t>Puncture</t>
  </si>
  <si>
    <t>Low Slash</t>
  </si>
  <si>
    <t>Defensive Stance</t>
  </si>
  <si>
    <t>Shield Charge</t>
  </si>
  <si>
    <t>Power Bash</t>
  </si>
  <si>
    <t>Rending Slashes/Blood Craze</t>
  </si>
  <si>
    <t>Rapid Strikes/Blood Thirst</t>
  </si>
  <si>
    <t>Hidden Blade</t>
  </si>
  <si>
    <t>Critical Charge</t>
  </si>
  <si>
    <t>Cleave</t>
  </si>
  <si>
    <t>Reverse Slash</t>
  </si>
  <si>
    <t>Momentum</t>
  </si>
  <si>
    <t>Entropy</t>
  </si>
  <si>
    <t>Necrotic Orb</t>
  </si>
  <si>
    <t>Inner Fire</t>
  </si>
  <si>
    <t>Mist Form</t>
  </si>
  <si>
    <t>Drain Essence</t>
  </si>
  <si>
    <t>Immovable</t>
  </si>
  <si>
    <t>Harness Magicka/Dampen Magic</t>
  </si>
  <si>
    <t>Evasion/Shuffle</t>
  </si>
  <si>
    <t>Impaling Shards</t>
  </si>
  <si>
    <t>Arctic Wind</t>
  </si>
  <si>
    <t>Crystallized Shield</t>
  </si>
  <si>
    <t>Frozen Gate</t>
  </si>
  <si>
    <t>Dive</t>
  </si>
  <si>
    <t>Scorch</t>
  </si>
  <si>
    <t>Subterranean Assault</t>
  </si>
  <si>
    <t>Swarm</t>
  </si>
  <si>
    <t>Blue Betty</t>
  </si>
  <si>
    <t>Falcon's Swiftness</t>
  </si>
  <si>
    <t>Healing Seed</t>
  </si>
  <si>
    <t>Living Trellis/Leeching Vines</t>
  </si>
  <si>
    <t>Green Lotus/Lotus Blossom</t>
  </si>
  <si>
    <t>Nature's Grasp</t>
  </si>
  <si>
    <t>Power Extraction</t>
  </si>
  <si>
    <t>Shooting Star</t>
  </si>
  <si>
    <t>Rend</t>
  </si>
  <si>
    <t>Warhorn</t>
  </si>
  <si>
    <t>Fire Rune/Scalding Rune</t>
  </si>
  <si>
    <t>Ardent Flame</t>
  </si>
  <si>
    <t>Inhale/Deep Breath</t>
  </si>
  <si>
    <t>Earthen Heart</t>
  </si>
  <si>
    <t>Daedric Summoning</t>
  </si>
  <si>
    <t>Dark Magic</t>
  </si>
  <si>
    <t>Storm Calling</t>
  </si>
  <si>
    <t>Assassination</t>
  </si>
  <si>
    <t>Shadow</t>
  </si>
  <si>
    <t>Siphoning</t>
  </si>
  <si>
    <t>Fighter's Guild</t>
  </si>
  <si>
    <t>Dawn's Wrath</t>
  </si>
  <si>
    <t>Aedric Spear</t>
  </si>
  <si>
    <t>Restoring Light</t>
  </si>
  <si>
    <t>Assault</t>
  </si>
  <si>
    <t>One Handed &amp; Shield</t>
  </si>
  <si>
    <t>Mage's Guild</t>
  </si>
  <si>
    <t>Two Handed</t>
  </si>
  <si>
    <t>Undaunted</t>
  </si>
  <si>
    <t>Heavy Armor</t>
  </si>
  <si>
    <t>Light Armor</t>
  </si>
  <si>
    <t>Medium Armor</t>
  </si>
  <si>
    <t>Winter's Embrace</t>
  </si>
  <si>
    <t>Animal Companion</t>
  </si>
  <si>
    <t>Green Balance</t>
  </si>
  <si>
    <t>Draconic Power</t>
  </si>
  <si>
    <t>Skill Line</t>
  </si>
  <si>
    <t>Empty</t>
  </si>
  <si>
    <t>Heavy Attack</t>
  </si>
  <si>
    <t>Major Intellect (toggled to align with Potions)</t>
  </si>
  <si>
    <t>Major Endurance (toggled to align with Potions)</t>
  </si>
  <si>
    <t>Minor Endurance</t>
  </si>
  <si>
    <t>Additional Sustain Sources (Per Second, on cooldown)</t>
  </si>
  <si>
    <t>Heavy Attacks Resource Restoration per Second</t>
  </si>
  <si>
    <t>Skill 16</t>
  </si>
  <si>
    <t>Skill 17</t>
  </si>
  <si>
    <t>Skill 18</t>
  </si>
  <si>
    <t>Skill 19</t>
  </si>
  <si>
    <t>Skill 20</t>
  </si>
  <si>
    <t>Sustain gain per second from cost reduction</t>
  </si>
  <si>
    <t>Sustain gain per second from recovery</t>
  </si>
  <si>
    <t>Heavy Attacks Resource Restoration per second</t>
  </si>
  <si>
    <t>Merciless Resolve</t>
  </si>
  <si>
    <t>Relentless Focus</t>
  </si>
  <si>
    <t>Power of the Light</t>
  </si>
  <si>
    <t>None</t>
  </si>
  <si>
    <t>Resource?</t>
  </si>
  <si>
    <t>∑ of Skill Cost</t>
  </si>
  <si>
    <t>Flat Bonus</t>
  </si>
  <si>
    <t>up to 154 Stamina p/s</t>
  </si>
  <si>
    <t>up to  103  Magicka and Stamina per second</t>
  </si>
  <si>
    <t>275 Magicka</t>
  </si>
  <si>
    <t>280 Stamina p/s</t>
  </si>
  <si>
    <t>200 Magicka</t>
  </si>
  <si>
    <t>2970*Bodies/Fight Duration</t>
  </si>
  <si>
    <t>4696*Dark Deal Casts/Fight Duration</t>
  </si>
  <si>
    <t>46*UltiGen</t>
  </si>
  <si>
    <t>46*Ultigen</t>
  </si>
  <si>
    <t>163 Magicka</t>
  </si>
  <si>
    <t>163 Stamina</t>
  </si>
  <si>
    <t>4696*Dark Conversion Casts/Fight Duration</t>
  </si>
  <si>
    <t>Flat Return- Magicka</t>
  </si>
  <si>
    <t>Flat Return - Stamina</t>
  </si>
  <si>
    <t>Screaming Cliffracer</t>
  </si>
  <si>
    <t>Endless Hail</t>
  </si>
  <si>
    <t>Cutting Dive</t>
  </si>
  <si>
    <t>Deep Fissure</t>
  </si>
  <si>
    <t>Soothing Spores</t>
  </si>
  <si>
    <t>Enchanted Growth</t>
  </si>
  <si>
    <t>Expansive Frost Cloak</t>
  </si>
  <si>
    <t>Ice Fortress</t>
  </si>
  <si>
    <t>Binding Javelin</t>
  </si>
  <si>
    <t>Aurora Javelin</t>
  </si>
  <si>
    <t>Whirling Blades</t>
  </si>
  <si>
    <t>Steel Tornado</t>
  </si>
  <si>
    <t>Uppercut</t>
  </si>
  <si>
    <t>AAA</t>
  </si>
  <si>
    <t>Assassin's Will Proc</t>
  </si>
  <si>
    <t>CP Recovery (copy integer value from Arcanist CP tree)</t>
  </si>
  <si>
    <t>CP Recovery (copy value from Mooncalf CP tree)</t>
  </si>
  <si>
    <t>Button</t>
  </si>
  <si>
    <t>Drain/s from Combat Metrics</t>
  </si>
  <si>
    <t xml:space="preserve"> thereof External Sustain from Group</t>
  </si>
  <si>
    <t>Sustain gain per second from breton</t>
  </si>
  <si>
    <t>Recovery needed with altmer to break even</t>
  </si>
  <si>
    <t>AvCost</t>
  </si>
  <si>
    <t>Master Staff in the  Group</t>
  </si>
  <si>
    <t>Other Flat Restores</t>
  </si>
  <si>
    <t>Other flat restores</t>
  </si>
  <si>
    <t>All Classes</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</si>
</sst>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43" formatCode="_-* #,##0.00\ _€_-;\-* #,##0.00\ _€_-;_-* &quot;-&quot;??\ _€_-;_-@_-"/>
    <numFmt numFmtId="164" formatCode="0.00_ ;[Red]\-0.00\ "/>
    <numFmt numFmtId="165" formatCode="0_ ;[Red]\-0\ "/>
  </numFmts>
  <fonts count="12" x14ac:knownFonts="1">
    <font>
      <sz val="11"/>
      <color theme="1"/>
      <name val="Calibri"/>
      <family val="2"/>
      <scheme val="minor"/>
    </font>
    <font>
      <sz val="11"/>
      <color theme="1"/>
      <name val="Calibri"/>
      <family val="2"/>
      <scheme val="minor"/>
    </font>
    <font>
      <b/>
      <sz val="11"/>
      <color theme="0"/>
      <name val="Calibri"/>
      <family val="2"/>
      <scheme val="minor"/>
    </font>
    <font>
      <sz val="11"/>
      <color theme="0"/>
      <name val="Calibri"/>
      <family val="2"/>
      <scheme val="minor"/>
    </font>
    <font>
      <u/>
      <sz val="11"/>
      <color theme="10"/>
      <name val="Calibri"/>
      <family val="2"/>
      <scheme val="minor"/>
    </font>
    <font>
      <u/>
      <sz val="11"/>
      <color theme="0"/>
      <name val="Calibri"/>
      <family val="2"/>
      <scheme val="minor"/>
    </font>
    <font>
      <b/>
      <sz val="14"/>
      <color theme="0"/>
      <name val="Calibri"/>
      <family val="2"/>
      <scheme val="minor"/>
    </font>
    <font>
      <b/>
      <sz val="11"/>
      <color theme="1"/>
      <name val="Calibri"/>
      <family val="2"/>
      <scheme val="minor"/>
    </font>
    <font>
      <b/>
      <u/>
      <sz val="11"/>
      <color theme="0"/>
      <name val="Calibri"/>
      <family val="2"/>
      <scheme val="minor"/>
    </font>
    <font>
      <sz val="16"/>
      <color theme="0"/>
      <name val="Calibri"/>
      <family val="2"/>
      <scheme val="minor"/>
    </font>
    <font>
      <sz val="11"/>
      <color rgb="FFFFFFFF"/>
      <name val="Calibri"/>
      <family val="2"/>
      <scheme val="minor"/>
    </font>
    <font>
      <sz val="11"/>
      <color rgb="FF000000"/>
      <name val="Calibri"/>
      <family val="2"/>
    </font>
  </fonts>
  <fills count="9">
    <fill>
      <patternFill patternType="none"/>
    </fill>
    <fill>
      <patternFill patternType="gray125"/>
    </fill>
    <fill>
      <patternFill patternType="solid">
        <fgColor theme="2" tint="-0.749992370372631"/>
        <bgColor indexed="64"/>
      </patternFill>
    </fill>
    <fill>
      <patternFill patternType="solid">
        <fgColor theme="0" tint="-4.9989318521683403E-2"/>
        <bgColor indexed="64"/>
      </patternFill>
    </fill>
    <fill>
      <patternFill patternType="solid">
        <fgColor theme="3"/>
        <bgColor indexed="64"/>
      </patternFill>
    </fill>
    <fill>
      <patternFill patternType="solid">
        <fgColor theme="5"/>
        <bgColor indexed="64"/>
      </patternFill>
    </fill>
    <fill>
      <patternFill patternType="solid">
        <fgColor theme="9" tint="-0.499984740745262"/>
        <bgColor indexed="64"/>
      </patternFill>
    </fill>
    <fill>
      <patternFill patternType="solid">
        <fgColor theme="0"/>
        <bgColor indexed="64"/>
      </patternFill>
    </fill>
    <fill>
      <patternFill patternType="solid">
        <fgColor rgb="FF44546A"/>
        <bgColor indexed="64"/>
      </patternFill>
    </fill>
  </fills>
  <borders count="8">
    <border>
      <left/>
      <right/>
      <top/>
      <bottom/>
      <diagonal/>
    </border>
    <border>
      <left style="medium">
        <color theme="0"/>
      </left>
      <right/>
      <top style="medium">
        <color theme="0"/>
      </top>
      <bottom/>
      <diagonal/>
    </border>
    <border>
      <left/>
      <right style="medium">
        <color theme="0"/>
      </right>
      <top style="medium">
        <color theme="0"/>
      </top>
      <bottom/>
      <diagonal/>
    </border>
    <border>
      <left style="medium">
        <color theme="0"/>
      </left>
      <right/>
      <top/>
      <bottom/>
      <diagonal/>
    </border>
    <border>
      <left style="medium">
        <color theme="0"/>
      </left>
      <right style="medium">
        <color theme="0"/>
      </right>
      <top style="medium">
        <color theme="0"/>
      </top>
      <bottom/>
      <diagonal/>
    </border>
    <border>
      <left style="medium">
        <color theme="0"/>
      </left>
      <right style="medium">
        <color theme="0"/>
      </right>
      <top/>
      <bottom/>
      <diagonal/>
    </border>
    <border>
      <left style="medium">
        <color theme="0"/>
      </left>
      <right style="medium">
        <color theme="0"/>
      </right>
      <top/>
      <bottom style="medium">
        <color theme="0"/>
      </bottom>
      <diagonal/>
    </border>
    <border>
      <left/>
      <right style="medium">
        <color theme="0"/>
      </right>
      <top/>
      <bottom/>
      <diagonal/>
    </border>
  </borders>
  <cellStyleXfs count="4">
    <xf numFmtId="0" fontId="0" fillId="0" borderId="0"/>
    <xf numFmtId="43" fontId="1" fillId="0" borderId="0" applyFont="0" applyFill="0" applyBorder="0" applyAlignment="0" applyProtection="0"/>
    <xf numFmtId="9" fontId="1" fillId="0" borderId="0" applyFont="0" applyFill="0" applyBorder="0" applyAlignment="0" applyProtection="0"/>
    <xf numFmtId="0" fontId="4" fillId="0" borderId="0" applyNumberFormat="0" applyFill="0" applyBorder="0" applyAlignment="0" applyProtection="0"/>
  </cellStyleXfs>
  <cellXfs count="82">
    <xf numFmtId="0" fontId="0" fillId="0" borderId="0" xfId="0"/>
    <xf numFmtId="9" fontId="0" fillId="0" borderId="0" xfId="0" applyNumberFormat="1"/>
    <xf numFmtId="0" fontId="3" fillId="2" borderId="0" xfId="0" applyFont="1" applyFill="1"/>
    <xf numFmtId="0" fontId="5" fillId="2" borderId="0" xfId="3" applyFont="1" applyFill="1"/>
    <xf numFmtId="0" fontId="2" fillId="2" borderId="0" xfId="0" applyFont="1" applyFill="1"/>
    <xf numFmtId="0" fontId="6" fillId="2" borderId="0" xfId="0" applyFont="1" applyFill="1"/>
    <xf numFmtId="9" fontId="3" fillId="2" borderId="0" xfId="0" applyNumberFormat="1" applyFont="1" applyFill="1"/>
    <xf numFmtId="0" fontId="3" fillId="2" borderId="1" xfId="0" applyFont="1" applyFill="1" applyBorder="1"/>
    <xf numFmtId="0" fontId="3" fillId="2" borderId="3" xfId="0" applyFont="1" applyFill="1" applyBorder="1"/>
    <xf numFmtId="0" fontId="2" fillId="2" borderId="3" xfId="0" applyFont="1" applyFill="1" applyBorder="1"/>
    <xf numFmtId="0" fontId="0" fillId="0" borderId="0" xfId="0" applyFont="1"/>
    <xf numFmtId="0" fontId="3" fillId="4" borderId="0" xfId="0" applyFont="1" applyFill="1"/>
    <xf numFmtId="0" fontId="2" fillId="4" borderId="4" xfId="0" applyFont="1" applyFill="1" applyBorder="1" applyAlignment="1">
      <alignment horizontal="center"/>
    </xf>
    <xf numFmtId="0" fontId="2" fillId="4" borderId="5" xfId="0" applyFont="1" applyFill="1" applyBorder="1" applyAlignment="1">
      <alignment horizontal="center"/>
    </xf>
    <xf numFmtId="9" fontId="2" fillId="4" borderId="5" xfId="0" applyNumberFormat="1" applyFont="1" applyFill="1" applyBorder="1" applyAlignment="1">
      <alignment horizontal="center"/>
    </xf>
    <xf numFmtId="0" fontId="2" fillId="4" borderId="6" xfId="1" applyNumberFormat="1" applyFont="1" applyFill="1" applyBorder="1" applyAlignment="1">
      <alignment horizontal="center"/>
    </xf>
    <xf numFmtId="0" fontId="7" fillId="3" borderId="4" xfId="0" applyFont="1" applyFill="1" applyBorder="1" applyAlignment="1">
      <alignment horizontal="center"/>
    </xf>
    <xf numFmtId="43" fontId="6" fillId="2" borderId="3" xfId="0" applyNumberFormat="1" applyFont="1" applyFill="1" applyBorder="1"/>
    <xf numFmtId="0" fontId="0" fillId="5" borderId="0" xfId="0" applyFill="1"/>
    <xf numFmtId="0" fontId="3" fillId="6" borderId="0" xfId="0" applyFont="1" applyFill="1"/>
    <xf numFmtId="0" fontId="2" fillId="6" borderId="4" xfId="0" applyFont="1" applyFill="1" applyBorder="1" applyAlignment="1">
      <alignment horizontal="center"/>
    </xf>
    <xf numFmtId="0" fontId="2" fillId="6" borderId="5" xfId="0" applyFont="1" applyFill="1" applyBorder="1" applyAlignment="1">
      <alignment horizontal="center"/>
    </xf>
    <xf numFmtId="9" fontId="2" fillId="6" borderId="5" xfId="0" applyNumberFormat="1" applyFont="1" applyFill="1" applyBorder="1" applyAlignment="1">
      <alignment horizontal="center"/>
    </xf>
    <xf numFmtId="0" fontId="2" fillId="6" borderId="6" xfId="1" applyNumberFormat="1" applyFont="1" applyFill="1" applyBorder="1" applyAlignment="1">
      <alignment horizontal="center"/>
    </xf>
    <xf numFmtId="0" fontId="2" fillId="4" borderId="5" xfId="0" applyFont="1" applyFill="1" applyBorder="1" applyAlignment="1">
      <alignment horizontal="center" vertical="center"/>
    </xf>
    <xf numFmtId="9" fontId="2" fillId="4" borderId="5" xfId="0" applyNumberFormat="1" applyFont="1" applyFill="1" applyBorder="1" applyAlignment="1">
      <alignment horizontal="center" vertical="center"/>
    </xf>
    <xf numFmtId="0" fontId="3" fillId="4" borderId="5" xfId="0" applyFont="1" applyFill="1" applyBorder="1" applyAlignment="1">
      <alignment horizontal="center"/>
    </xf>
    <xf numFmtId="0" fontId="0" fillId="5" borderId="0" xfId="0" applyFill="1" applyBorder="1" applyAlignment="1">
      <alignment horizontal="center" vertical="center" wrapText="1"/>
    </xf>
    <xf numFmtId="10" fontId="3" fillId="2" borderId="5" xfId="0" applyNumberFormat="1" applyFont="1" applyFill="1" applyBorder="1" applyAlignment="1">
      <alignment horizontal="center"/>
    </xf>
    <xf numFmtId="164" fontId="3" fillId="2" borderId="4" xfId="0" applyNumberFormat="1" applyFont="1" applyFill="1" applyBorder="1" applyAlignment="1">
      <alignment horizontal="center"/>
    </xf>
    <xf numFmtId="164" fontId="3" fillId="2" borderId="2" xfId="0" applyNumberFormat="1" applyFont="1" applyFill="1" applyBorder="1" applyAlignment="1">
      <alignment horizontal="center"/>
    </xf>
    <xf numFmtId="164" fontId="2" fillId="2" borderId="5" xfId="0" applyNumberFormat="1" applyFont="1" applyFill="1" applyBorder="1" applyAlignment="1">
      <alignment horizontal="center"/>
    </xf>
    <xf numFmtId="164" fontId="3" fillId="2" borderId="5" xfId="0" applyNumberFormat="1" applyFont="1" applyFill="1" applyBorder="1" applyAlignment="1">
      <alignment horizontal="center"/>
    </xf>
    <xf numFmtId="164" fontId="0" fillId="0" borderId="0" xfId="0" applyNumberFormat="1" applyAlignment="1">
      <alignment horizontal="center"/>
    </xf>
    <xf numFmtId="164" fontId="2" fillId="2" borderId="3" xfId="0" applyNumberFormat="1" applyFont="1" applyFill="1" applyBorder="1" applyAlignment="1">
      <alignment horizontal="center"/>
    </xf>
    <xf numFmtId="164" fontId="3" fillId="2" borderId="3" xfId="0" applyNumberFormat="1" applyFont="1" applyFill="1" applyBorder="1" applyAlignment="1">
      <alignment horizontal="center"/>
    </xf>
    <xf numFmtId="164" fontId="6" fillId="2" borderId="3" xfId="0" applyNumberFormat="1" applyFont="1" applyFill="1" applyBorder="1" applyAlignment="1">
      <alignment horizontal="center"/>
    </xf>
    <xf numFmtId="10" fontId="3" fillId="2" borderId="5" xfId="2" applyNumberFormat="1" applyFont="1" applyFill="1" applyBorder="1" applyAlignment="1">
      <alignment horizontal="center"/>
    </xf>
    <xf numFmtId="10" fontId="2" fillId="2" borderId="5" xfId="0" applyNumberFormat="1" applyFont="1" applyFill="1" applyBorder="1" applyAlignment="1">
      <alignment horizontal="center"/>
    </xf>
    <xf numFmtId="0" fontId="3" fillId="2" borderId="0" xfId="0" applyFont="1" applyFill="1" applyAlignment="1">
      <alignment horizontal="right"/>
    </xf>
    <xf numFmtId="0" fontId="2" fillId="2" borderId="3" xfId="0" applyFont="1" applyFill="1" applyBorder="1" applyAlignment="1">
      <alignment horizontal="right"/>
    </xf>
    <xf numFmtId="0" fontId="3" fillId="2" borderId="3" xfId="0" applyFont="1" applyFill="1" applyBorder="1" applyAlignment="1">
      <alignment horizontal="right"/>
    </xf>
    <xf numFmtId="0" fontId="3" fillId="2" borderId="1" xfId="0" applyFont="1" applyFill="1" applyBorder="1" applyAlignment="1">
      <alignment horizontal="right"/>
    </xf>
    <xf numFmtId="0" fontId="0" fillId="0" borderId="0" xfId="0" applyAlignment="1">
      <alignment horizontal="right"/>
    </xf>
    <xf numFmtId="0" fontId="0" fillId="0" borderId="0" xfId="0" applyFont="1" applyAlignment="1">
      <alignment horizontal="right"/>
    </xf>
    <xf numFmtId="43" fontId="6" fillId="2" borderId="3" xfId="0" applyNumberFormat="1" applyFont="1" applyFill="1" applyBorder="1" applyAlignment="1">
      <alignment horizontal="right"/>
    </xf>
    <xf numFmtId="0" fontId="7" fillId="3" borderId="4" xfId="0" applyFont="1" applyFill="1" applyBorder="1" applyAlignment="1">
      <alignment horizontal="right"/>
    </xf>
    <xf numFmtId="0" fontId="3" fillId="7" borderId="0" xfId="0" applyFont="1" applyFill="1"/>
    <xf numFmtId="0" fontId="0" fillId="7" borderId="0" xfId="0" applyFill="1"/>
    <xf numFmtId="0" fontId="8" fillId="2" borderId="3" xfId="0" applyFont="1" applyFill="1" applyBorder="1" applyAlignment="1">
      <alignment horizontal="right"/>
    </xf>
    <xf numFmtId="164" fontId="8" fillId="2" borderId="5" xfId="0" applyNumberFormat="1" applyFont="1" applyFill="1" applyBorder="1" applyAlignment="1">
      <alignment horizontal="center"/>
    </xf>
    <xf numFmtId="0" fontId="8" fillId="2" borderId="3" xfId="0" applyFont="1" applyFill="1" applyBorder="1"/>
    <xf numFmtId="0" fontId="2" fillId="6" borderId="0" xfId="0" applyFont="1" applyFill="1" applyAlignment="1">
      <alignment horizontal="center"/>
    </xf>
    <xf numFmtId="0" fontId="9" fillId="4" borderId="0" xfId="0" applyFont="1" applyFill="1"/>
    <xf numFmtId="164" fontId="0" fillId="0" borderId="0" xfId="0" applyNumberFormat="1"/>
    <xf numFmtId="0" fontId="10" fillId="8" borderId="0" xfId="0" applyFont="1" applyFill="1" applyAlignment="1">
      <alignment wrapText="1"/>
    </xf>
    <xf numFmtId="0" fontId="2" fillId="6" borderId="7" xfId="0" applyFont="1" applyFill="1" applyBorder="1" applyAlignment="1">
      <alignment horizontal="center"/>
    </xf>
    <xf numFmtId="164" fontId="2" fillId="4" borderId="6" xfId="1" applyNumberFormat="1" applyFont="1" applyFill="1" applyBorder="1" applyAlignment="1">
      <alignment horizontal="center"/>
    </xf>
    <xf numFmtId="2" fontId="3" fillId="4" borderId="5" xfId="0" applyNumberFormat="1" applyFont="1" applyFill="1" applyBorder="1" applyAlignment="1">
      <alignment horizontal="center"/>
    </xf>
    <xf numFmtId="2" fontId="2" fillId="6" borderId="5" xfId="0" applyNumberFormat="1" applyFont="1" applyFill="1" applyBorder="1" applyAlignment="1">
      <alignment horizontal="center"/>
    </xf>
    <xf numFmtId="0" fontId="3" fillId="2" borderId="0" xfId="0" applyFont="1" applyFill="1" applyBorder="1" applyAlignment="1">
      <alignment horizontal="right"/>
    </xf>
    <xf numFmtId="0" fontId="2" fillId="4" borderId="0" xfId="1" applyNumberFormat="1" applyFont="1" applyFill="1" applyBorder="1" applyAlignment="1">
      <alignment horizontal="center"/>
    </xf>
    <xf numFmtId="1" fontId="2" fillId="2" borderId="5" xfId="0" applyNumberFormat="1" applyFont="1" applyFill="1" applyBorder="1" applyAlignment="1">
      <alignment horizontal="center"/>
    </xf>
    <xf numFmtId="1" fontId="0" fillId="0" borderId="0" xfId="0" applyNumberFormat="1" applyAlignment="1">
      <alignment horizontal="center"/>
    </xf>
    <xf numFmtId="1" fontId="6" fillId="2" borderId="3" xfId="0" applyNumberFormat="1" applyFont="1" applyFill="1" applyBorder="1" applyAlignment="1">
      <alignment horizontal="center"/>
    </xf>
    <xf numFmtId="165" fontId="3" fillId="2" borderId="5" xfId="0" applyNumberFormat="1" applyFont="1" applyFill="1" applyBorder="1" applyAlignment="1">
      <alignment horizontal="center"/>
    </xf>
    <xf numFmtId="165" fontId="2" fillId="2" borderId="5" xfId="0" applyNumberFormat="1" applyFont="1" applyFill="1" applyBorder="1" applyAlignment="1">
      <alignment horizontal="center"/>
    </xf>
    <xf numFmtId="165" fontId="8" fillId="2" borderId="5" xfId="0" applyNumberFormat="1" applyFont="1" applyFill="1" applyBorder="1" applyAlignment="1">
      <alignment horizontal="center"/>
    </xf>
    <xf numFmtId="165" fontId="3" fillId="2" borderId="2" xfId="0" applyNumberFormat="1" applyFont="1" applyFill="1" applyBorder="1" applyAlignment="1">
      <alignment horizontal="center"/>
    </xf>
    <xf numFmtId="165" fontId="3" fillId="2" borderId="4" xfId="0" applyNumberFormat="1" applyFont="1" applyFill="1" applyBorder="1" applyAlignment="1">
      <alignment horizontal="center"/>
    </xf>
    <xf numFmtId="9" fontId="3" fillId="2" borderId="5" xfId="2" applyNumberFormat="1" applyFont="1" applyFill="1" applyBorder="1" applyAlignment="1">
      <alignment horizontal="center"/>
    </xf>
    <xf numFmtId="9" fontId="3" fillId="2" borderId="5" xfId="0" applyNumberFormat="1" applyFont="1" applyFill="1" applyBorder="1" applyAlignment="1">
      <alignment horizontal="center"/>
    </xf>
    <xf numFmtId="165" fontId="3" fillId="2" borderId="3" xfId="0" applyNumberFormat="1" applyFont="1" applyFill="1" applyBorder="1" applyAlignment="1">
      <alignment horizontal="center"/>
    </xf>
    <xf numFmtId="165" fontId="2" fillId="2" borderId="3" xfId="0" applyNumberFormat="1" applyFont="1" applyFill="1" applyBorder="1" applyAlignment="1">
      <alignment horizontal="center"/>
    </xf>
    <xf numFmtId="165" fontId="0" fillId="0" borderId="0" xfId="0" applyNumberFormat="1" applyAlignment="1">
      <alignment horizontal="center"/>
    </xf>
    <xf numFmtId="165" fontId="6" fillId="2" borderId="3" xfId="0" applyNumberFormat="1" applyFont="1" applyFill="1" applyBorder="1" applyAlignment="1">
      <alignment horizontal="center"/>
    </xf>
    <xf numFmtId="9" fontId="2" fillId="2" borderId="5" xfId="0" applyNumberFormat="1" applyFont="1" applyFill="1" applyBorder="1" applyAlignment="1">
      <alignment horizontal="center"/>
    </xf>
    <xf numFmtId="9" fontId="2" fillId="4" borderId="6" xfId="2" applyFont="1" applyFill="1" applyBorder="1" applyAlignment="1">
      <alignment horizontal="center"/>
    </xf>
    <xf numFmtId="9" fontId="2" fillId="4" borderId="3" xfId="0" applyNumberFormat="1" applyFont="1" applyFill="1" applyBorder="1" applyAlignment="1">
      <alignment horizontal="center"/>
    </xf>
    <xf numFmtId="165" fontId="0" fillId="0" borderId="0" xfId="0" applyNumberFormat="1"/>
    <xf numFmtId="9" fontId="2" fillId="6" borderId="3" xfId="0" applyNumberFormat="1" applyFont="1" applyFill="1" applyBorder="1" applyAlignment="1">
      <alignment horizontal="center"/>
    </xf>
    <xf numFmtId="0" fontId="0" fillId="5" borderId="7" xfId="0" applyFill="1" applyBorder="1" applyAlignment="1">
      <alignment horizontal="center" vertical="center" wrapText="1"/>
    </xf>
  </cellXfs>
  <cellStyles count="4">
    <cellStyle name="Komma" xfId="1" builtinId="3"/>
    <cellStyle name="Link" xfId="3" builtinId="8"/>
    <cellStyle name="Prozent" xfId="2" builtinId="5"/>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Altmer vs. Breton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'Altmer vs Breton'!$A$1</c:f>
              <c:strCache>
                <c:ptCount val="1"/>
                <c:pt idx="0">
                  <c:v>AvCost</c:v>
                </c:pt>
              </c:strCache>
            </c:strRef>
          </c:tx>
          <c:spPr>
            <a:ln w="28575" cap="rnd">
              <a:solidFill>
                <a:schemeClr val="accent1"/>
              </a:solidFill>
              <a:round/>
            </a:ln>
            <a:effectLst/>
          </c:spPr>
          <c:marker>
            <c:symbol val="none"/>
          </c:marker>
          <c:val>
            <c:numRef>
              <c:f>'Altmer vs Breton'!$A$2:$A$325</c:f>
              <c:numCache>
                <c:formatCode>General</c:formatCode>
                <c:ptCount val="324"/>
                <c:pt idx="0">
                  <c:v>-100</c:v>
                </c:pt>
                <c:pt idx="1">
                  <c:v>-110</c:v>
                </c:pt>
                <c:pt idx="2">
                  <c:v>-120</c:v>
                </c:pt>
                <c:pt idx="3">
                  <c:v>-130</c:v>
                </c:pt>
                <c:pt idx="4">
                  <c:v>-140</c:v>
                </c:pt>
                <c:pt idx="5">
                  <c:v>-150</c:v>
                </c:pt>
                <c:pt idx="6">
                  <c:v>-160</c:v>
                </c:pt>
                <c:pt idx="7">
                  <c:v>-170</c:v>
                </c:pt>
                <c:pt idx="8">
                  <c:v>-180</c:v>
                </c:pt>
                <c:pt idx="9">
                  <c:v>-190</c:v>
                </c:pt>
                <c:pt idx="10">
                  <c:v>-200</c:v>
                </c:pt>
                <c:pt idx="11">
                  <c:v>-210</c:v>
                </c:pt>
                <c:pt idx="12">
                  <c:v>-220</c:v>
                </c:pt>
                <c:pt idx="13">
                  <c:v>-230</c:v>
                </c:pt>
                <c:pt idx="14">
                  <c:v>-240</c:v>
                </c:pt>
                <c:pt idx="15">
                  <c:v>-250</c:v>
                </c:pt>
                <c:pt idx="16">
                  <c:v>-260</c:v>
                </c:pt>
                <c:pt idx="17">
                  <c:v>-270</c:v>
                </c:pt>
                <c:pt idx="18">
                  <c:v>-280</c:v>
                </c:pt>
                <c:pt idx="19">
                  <c:v>-290</c:v>
                </c:pt>
                <c:pt idx="20">
                  <c:v>-300</c:v>
                </c:pt>
                <c:pt idx="21">
                  <c:v>-310</c:v>
                </c:pt>
                <c:pt idx="22">
                  <c:v>-320</c:v>
                </c:pt>
                <c:pt idx="23">
                  <c:v>-330</c:v>
                </c:pt>
                <c:pt idx="24">
                  <c:v>-340</c:v>
                </c:pt>
                <c:pt idx="25">
                  <c:v>-350</c:v>
                </c:pt>
                <c:pt idx="26">
                  <c:v>-360</c:v>
                </c:pt>
                <c:pt idx="27">
                  <c:v>-370</c:v>
                </c:pt>
                <c:pt idx="28">
                  <c:v>-380</c:v>
                </c:pt>
                <c:pt idx="29">
                  <c:v>-390</c:v>
                </c:pt>
                <c:pt idx="30">
                  <c:v>-400</c:v>
                </c:pt>
                <c:pt idx="31">
                  <c:v>-410</c:v>
                </c:pt>
                <c:pt idx="32">
                  <c:v>-420</c:v>
                </c:pt>
                <c:pt idx="33">
                  <c:v>-430</c:v>
                </c:pt>
                <c:pt idx="34">
                  <c:v>-440</c:v>
                </c:pt>
                <c:pt idx="35">
                  <c:v>-450</c:v>
                </c:pt>
                <c:pt idx="36">
                  <c:v>-460</c:v>
                </c:pt>
                <c:pt idx="37">
                  <c:v>-470</c:v>
                </c:pt>
                <c:pt idx="38">
                  <c:v>-480</c:v>
                </c:pt>
                <c:pt idx="39">
                  <c:v>-490</c:v>
                </c:pt>
                <c:pt idx="40">
                  <c:v>-500</c:v>
                </c:pt>
                <c:pt idx="41">
                  <c:v>-510</c:v>
                </c:pt>
                <c:pt idx="42">
                  <c:v>-520</c:v>
                </c:pt>
                <c:pt idx="43">
                  <c:v>-530</c:v>
                </c:pt>
                <c:pt idx="44">
                  <c:v>-540</c:v>
                </c:pt>
                <c:pt idx="45">
                  <c:v>-550</c:v>
                </c:pt>
                <c:pt idx="46">
                  <c:v>-560</c:v>
                </c:pt>
                <c:pt idx="47">
                  <c:v>-570</c:v>
                </c:pt>
                <c:pt idx="48">
                  <c:v>-580</c:v>
                </c:pt>
                <c:pt idx="49">
                  <c:v>-590</c:v>
                </c:pt>
                <c:pt idx="50">
                  <c:v>-600</c:v>
                </c:pt>
                <c:pt idx="51">
                  <c:v>-610</c:v>
                </c:pt>
                <c:pt idx="52">
                  <c:v>-620</c:v>
                </c:pt>
                <c:pt idx="53">
                  <c:v>-630</c:v>
                </c:pt>
                <c:pt idx="54">
                  <c:v>-640</c:v>
                </c:pt>
                <c:pt idx="55">
                  <c:v>-650</c:v>
                </c:pt>
                <c:pt idx="56">
                  <c:v>-660</c:v>
                </c:pt>
                <c:pt idx="57">
                  <c:v>-670</c:v>
                </c:pt>
                <c:pt idx="58">
                  <c:v>-680</c:v>
                </c:pt>
                <c:pt idx="59">
                  <c:v>-690</c:v>
                </c:pt>
                <c:pt idx="60">
                  <c:v>-700</c:v>
                </c:pt>
                <c:pt idx="61">
                  <c:v>-710</c:v>
                </c:pt>
                <c:pt idx="62">
                  <c:v>-720</c:v>
                </c:pt>
                <c:pt idx="63">
                  <c:v>-730</c:v>
                </c:pt>
                <c:pt idx="64">
                  <c:v>-740</c:v>
                </c:pt>
                <c:pt idx="65">
                  <c:v>-750</c:v>
                </c:pt>
                <c:pt idx="66">
                  <c:v>-760</c:v>
                </c:pt>
                <c:pt idx="67">
                  <c:v>-770</c:v>
                </c:pt>
                <c:pt idx="68">
                  <c:v>-780</c:v>
                </c:pt>
                <c:pt idx="69">
                  <c:v>-790</c:v>
                </c:pt>
                <c:pt idx="70">
                  <c:v>-800</c:v>
                </c:pt>
                <c:pt idx="71">
                  <c:v>-810</c:v>
                </c:pt>
                <c:pt idx="72">
                  <c:v>-820</c:v>
                </c:pt>
                <c:pt idx="73">
                  <c:v>-830</c:v>
                </c:pt>
                <c:pt idx="74">
                  <c:v>-840</c:v>
                </c:pt>
                <c:pt idx="75">
                  <c:v>-850</c:v>
                </c:pt>
                <c:pt idx="76">
                  <c:v>-860</c:v>
                </c:pt>
                <c:pt idx="77">
                  <c:v>-870</c:v>
                </c:pt>
                <c:pt idx="78">
                  <c:v>-880</c:v>
                </c:pt>
                <c:pt idx="79">
                  <c:v>-890</c:v>
                </c:pt>
                <c:pt idx="80">
                  <c:v>-900</c:v>
                </c:pt>
                <c:pt idx="81">
                  <c:v>-910</c:v>
                </c:pt>
                <c:pt idx="82">
                  <c:v>-920</c:v>
                </c:pt>
                <c:pt idx="83">
                  <c:v>-930</c:v>
                </c:pt>
                <c:pt idx="84">
                  <c:v>-940</c:v>
                </c:pt>
                <c:pt idx="85">
                  <c:v>-950</c:v>
                </c:pt>
                <c:pt idx="86">
                  <c:v>-960</c:v>
                </c:pt>
                <c:pt idx="87">
                  <c:v>-970</c:v>
                </c:pt>
                <c:pt idx="88">
                  <c:v>-980</c:v>
                </c:pt>
                <c:pt idx="89">
                  <c:v>-990</c:v>
                </c:pt>
                <c:pt idx="90">
                  <c:v>-1000</c:v>
                </c:pt>
                <c:pt idx="91">
                  <c:v>-1010</c:v>
                </c:pt>
                <c:pt idx="92">
                  <c:v>-1020</c:v>
                </c:pt>
                <c:pt idx="93">
                  <c:v>-1030</c:v>
                </c:pt>
                <c:pt idx="94">
                  <c:v>-1040</c:v>
                </c:pt>
                <c:pt idx="95">
                  <c:v>-1050</c:v>
                </c:pt>
                <c:pt idx="96">
                  <c:v>-1060</c:v>
                </c:pt>
                <c:pt idx="97">
                  <c:v>-1070</c:v>
                </c:pt>
                <c:pt idx="98">
                  <c:v>-1080</c:v>
                </c:pt>
                <c:pt idx="99">
                  <c:v>-1090</c:v>
                </c:pt>
                <c:pt idx="100">
                  <c:v>-1100</c:v>
                </c:pt>
                <c:pt idx="101">
                  <c:v>-1110</c:v>
                </c:pt>
                <c:pt idx="102">
                  <c:v>-1120</c:v>
                </c:pt>
                <c:pt idx="103">
                  <c:v>-1130</c:v>
                </c:pt>
                <c:pt idx="104">
                  <c:v>-1140</c:v>
                </c:pt>
                <c:pt idx="105">
                  <c:v>-1150</c:v>
                </c:pt>
                <c:pt idx="106">
                  <c:v>-1160</c:v>
                </c:pt>
                <c:pt idx="107">
                  <c:v>-1170</c:v>
                </c:pt>
                <c:pt idx="108">
                  <c:v>-1180</c:v>
                </c:pt>
                <c:pt idx="109">
                  <c:v>-1190</c:v>
                </c:pt>
                <c:pt idx="110">
                  <c:v>-1200</c:v>
                </c:pt>
                <c:pt idx="111">
                  <c:v>-1210</c:v>
                </c:pt>
                <c:pt idx="112">
                  <c:v>-1220</c:v>
                </c:pt>
                <c:pt idx="113">
                  <c:v>-1230</c:v>
                </c:pt>
                <c:pt idx="114">
                  <c:v>-1240</c:v>
                </c:pt>
                <c:pt idx="115">
                  <c:v>-1250</c:v>
                </c:pt>
                <c:pt idx="116">
                  <c:v>-1260</c:v>
                </c:pt>
                <c:pt idx="117">
                  <c:v>-1270</c:v>
                </c:pt>
                <c:pt idx="118">
                  <c:v>-1280</c:v>
                </c:pt>
                <c:pt idx="119">
                  <c:v>-1290</c:v>
                </c:pt>
                <c:pt idx="120">
                  <c:v>-1300</c:v>
                </c:pt>
                <c:pt idx="121">
                  <c:v>-1310</c:v>
                </c:pt>
                <c:pt idx="122">
                  <c:v>-1320</c:v>
                </c:pt>
                <c:pt idx="123">
                  <c:v>-1330</c:v>
                </c:pt>
                <c:pt idx="124">
                  <c:v>-1340</c:v>
                </c:pt>
                <c:pt idx="125">
                  <c:v>-1350</c:v>
                </c:pt>
                <c:pt idx="126">
                  <c:v>-1360</c:v>
                </c:pt>
                <c:pt idx="127">
                  <c:v>-1370</c:v>
                </c:pt>
                <c:pt idx="128">
                  <c:v>-1380</c:v>
                </c:pt>
                <c:pt idx="129">
                  <c:v>-1390</c:v>
                </c:pt>
                <c:pt idx="130">
                  <c:v>-1400</c:v>
                </c:pt>
                <c:pt idx="131">
                  <c:v>-1410</c:v>
                </c:pt>
                <c:pt idx="132">
                  <c:v>-1420</c:v>
                </c:pt>
                <c:pt idx="133">
                  <c:v>-1430</c:v>
                </c:pt>
                <c:pt idx="134">
                  <c:v>-1440</c:v>
                </c:pt>
                <c:pt idx="135">
                  <c:v>-1450</c:v>
                </c:pt>
                <c:pt idx="136">
                  <c:v>-1460</c:v>
                </c:pt>
                <c:pt idx="137">
                  <c:v>-1470</c:v>
                </c:pt>
                <c:pt idx="138">
                  <c:v>-1480</c:v>
                </c:pt>
                <c:pt idx="139">
                  <c:v>-1490</c:v>
                </c:pt>
                <c:pt idx="140">
                  <c:v>-1500</c:v>
                </c:pt>
                <c:pt idx="141">
                  <c:v>-1510</c:v>
                </c:pt>
                <c:pt idx="142">
                  <c:v>-1520</c:v>
                </c:pt>
                <c:pt idx="143">
                  <c:v>-1530</c:v>
                </c:pt>
                <c:pt idx="144">
                  <c:v>-1540</c:v>
                </c:pt>
                <c:pt idx="145">
                  <c:v>-1550</c:v>
                </c:pt>
                <c:pt idx="146">
                  <c:v>-1560</c:v>
                </c:pt>
                <c:pt idx="147">
                  <c:v>-1570</c:v>
                </c:pt>
                <c:pt idx="148">
                  <c:v>-1580</c:v>
                </c:pt>
                <c:pt idx="149">
                  <c:v>-1590</c:v>
                </c:pt>
                <c:pt idx="150">
                  <c:v>-1600</c:v>
                </c:pt>
                <c:pt idx="151">
                  <c:v>-1610</c:v>
                </c:pt>
                <c:pt idx="152">
                  <c:v>-1620</c:v>
                </c:pt>
                <c:pt idx="153">
                  <c:v>-1630</c:v>
                </c:pt>
                <c:pt idx="154">
                  <c:v>-1640</c:v>
                </c:pt>
                <c:pt idx="155">
                  <c:v>-1650</c:v>
                </c:pt>
                <c:pt idx="156">
                  <c:v>-1660</c:v>
                </c:pt>
                <c:pt idx="157">
                  <c:v>-1670</c:v>
                </c:pt>
                <c:pt idx="158">
                  <c:v>-1680</c:v>
                </c:pt>
                <c:pt idx="159">
                  <c:v>-1690</c:v>
                </c:pt>
                <c:pt idx="160">
                  <c:v>-1700</c:v>
                </c:pt>
                <c:pt idx="161">
                  <c:v>-1710</c:v>
                </c:pt>
                <c:pt idx="162">
                  <c:v>-1720</c:v>
                </c:pt>
                <c:pt idx="163">
                  <c:v>-1730</c:v>
                </c:pt>
                <c:pt idx="164">
                  <c:v>-1740</c:v>
                </c:pt>
                <c:pt idx="165">
                  <c:v>-1750</c:v>
                </c:pt>
                <c:pt idx="166">
                  <c:v>-1760</c:v>
                </c:pt>
                <c:pt idx="167">
                  <c:v>-1770</c:v>
                </c:pt>
                <c:pt idx="168">
                  <c:v>-1780</c:v>
                </c:pt>
                <c:pt idx="169">
                  <c:v>-1790</c:v>
                </c:pt>
                <c:pt idx="170">
                  <c:v>-1800</c:v>
                </c:pt>
                <c:pt idx="171">
                  <c:v>-1810</c:v>
                </c:pt>
                <c:pt idx="172">
                  <c:v>-1820</c:v>
                </c:pt>
                <c:pt idx="173">
                  <c:v>-1830</c:v>
                </c:pt>
                <c:pt idx="174">
                  <c:v>-1840</c:v>
                </c:pt>
                <c:pt idx="175">
                  <c:v>-1850</c:v>
                </c:pt>
                <c:pt idx="176">
                  <c:v>-1860</c:v>
                </c:pt>
                <c:pt idx="177">
                  <c:v>-1870</c:v>
                </c:pt>
                <c:pt idx="178">
                  <c:v>-1880</c:v>
                </c:pt>
                <c:pt idx="179">
                  <c:v>-1890</c:v>
                </c:pt>
                <c:pt idx="180">
                  <c:v>-1900</c:v>
                </c:pt>
                <c:pt idx="181">
                  <c:v>-1910</c:v>
                </c:pt>
                <c:pt idx="182">
                  <c:v>-1920</c:v>
                </c:pt>
                <c:pt idx="183">
                  <c:v>-1930</c:v>
                </c:pt>
                <c:pt idx="184">
                  <c:v>-1940</c:v>
                </c:pt>
                <c:pt idx="185">
                  <c:v>-1950</c:v>
                </c:pt>
                <c:pt idx="186">
                  <c:v>-1960</c:v>
                </c:pt>
                <c:pt idx="187">
                  <c:v>-1970</c:v>
                </c:pt>
                <c:pt idx="188">
                  <c:v>-1980</c:v>
                </c:pt>
                <c:pt idx="189">
                  <c:v>-1990</c:v>
                </c:pt>
                <c:pt idx="190">
                  <c:v>-2000</c:v>
                </c:pt>
                <c:pt idx="191">
                  <c:v>-2010</c:v>
                </c:pt>
                <c:pt idx="192">
                  <c:v>-2020</c:v>
                </c:pt>
                <c:pt idx="193">
                  <c:v>-2030</c:v>
                </c:pt>
                <c:pt idx="194">
                  <c:v>-2040</c:v>
                </c:pt>
                <c:pt idx="195">
                  <c:v>-2050</c:v>
                </c:pt>
                <c:pt idx="196">
                  <c:v>-2060</c:v>
                </c:pt>
                <c:pt idx="197">
                  <c:v>-2070</c:v>
                </c:pt>
                <c:pt idx="198">
                  <c:v>-2080</c:v>
                </c:pt>
                <c:pt idx="199">
                  <c:v>-2090</c:v>
                </c:pt>
                <c:pt idx="200">
                  <c:v>-2100</c:v>
                </c:pt>
                <c:pt idx="201">
                  <c:v>-2110</c:v>
                </c:pt>
                <c:pt idx="202">
                  <c:v>-2120</c:v>
                </c:pt>
                <c:pt idx="203">
                  <c:v>-2130</c:v>
                </c:pt>
                <c:pt idx="204">
                  <c:v>-2140</c:v>
                </c:pt>
                <c:pt idx="205">
                  <c:v>-2150</c:v>
                </c:pt>
                <c:pt idx="206">
                  <c:v>-2160</c:v>
                </c:pt>
                <c:pt idx="207">
                  <c:v>-2170</c:v>
                </c:pt>
                <c:pt idx="208">
                  <c:v>-2180</c:v>
                </c:pt>
                <c:pt idx="209">
                  <c:v>-2190</c:v>
                </c:pt>
                <c:pt idx="210">
                  <c:v>-2200</c:v>
                </c:pt>
                <c:pt idx="211">
                  <c:v>-2210</c:v>
                </c:pt>
                <c:pt idx="212">
                  <c:v>-2220</c:v>
                </c:pt>
                <c:pt idx="213">
                  <c:v>-2230</c:v>
                </c:pt>
                <c:pt idx="214">
                  <c:v>-2240</c:v>
                </c:pt>
                <c:pt idx="215">
                  <c:v>-2250</c:v>
                </c:pt>
                <c:pt idx="216">
                  <c:v>-2260</c:v>
                </c:pt>
                <c:pt idx="217">
                  <c:v>-2270</c:v>
                </c:pt>
                <c:pt idx="218">
                  <c:v>-2280</c:v>
                </c:pt>
                <c:pt idx="219">
                  <c:v>-2290</c:v>
                </c:pt>
                <c:pt idx="220">
                  <c:v>-2300</c:v>
                </c:pt>
                <c:pt idx="221">
                  <c:v>-2310</c:v>
                </c:pt>
                <c:pt idx="222">
                  <c:v>-2320</c:v>
                </c:pt>
                <c:pt idx="223">
                  <c:v>-2330</c:v>
                </c:pt>
                <c:pt idx="224">
                  <c:v>-2340</c:v>
                </c:pt>
                <c:pt idx="225">
                  <c:v>-2350</c:v>
                </c:pt>
                <c:pt idx="226">
                  <c:v>-2360</c:v>
                </c:pt>
                <c:pt idx="227">
                  <c:v>-2370</c:v>
                </c:pt>
                <c:pt idx="228">
                  <c:v>-2380</c:v>
                </c:pt>
                <c:pt idx="229">
                  <c:v>-2390</c:v>
                </c:pt>
                <c:pt idx="230">
                  <c:v>-2400</c:v>
                </c:pt>
                <c:pt idx="231">
                  <c:v>-2410</c:v>
                </c:pt>
                <c:pt idx="232">
                  <c:v>-2420</c:v>
                </c:pt>
                <c:pt idx="233">
                  <c:v>-2430</c:v>
                </c:pt>
                <c:pt idx="234">
                  <c:v>-2440</c:v>
                </c:pt>
                <c:pt idx="235">
                  <c:v>-2450</c:v>
                </c:pt>
                <c:pt idx="236">
                  <c:v>-2460</c:v>
                </c:pt>
                <c:pt idx="237">
                  <c:v>-2470</c:v>
                </c:pt>
                <c:pt idx="238">
                  <c:v>-2480</c:v>
                </c:pt>
                <c:pt idx="239">
                  <c:v>-2490</c:v>
                </c:pt>
                <c:pt idx="240">
                  <c:v>-2500</c:v>
                </c:pt>
                <c:pt idx="241">
                  <c:v>-2510</c:v>
                </c:pt>
                <c:pt idx="242">
                  <c:v>-2520</c:v>
                </c:pt>
                <c:pt idx="243">
                  <c:v>-2530</c:v>
                </c:pt>
                <c:pt idx="244">
                  <c:v>-2540</c:v>
                </c:pt>
                <c:pt idx="245">
                  <c:v>-2550</c:v>
                </c:pt>
                <c:pt idx="246">
                  <c:v>-2560</c:v>
                </c:pt>
                <c:pt idx="247">
                  <c:v>-2570</c:v>
                </c:pt>
                <c:pt idx="248">
                  <c:v>-2580</c:v>
                </c:pt>
                <c:pt idx="249">
                  <c:v>-2590</c:v>
                </c:pt>
                <c:pt idx="250">
                  <c:v>-2600</c:v>
                </c:pt>
                <c:pt idx="251">
                  <c:v>-2610</c:v>
                </c:pt>
                <c:pt idx="252">
                  <c:v>-2620</c:v>
                </c:pt>
                <c:pt idx="253">
                  <c:v>-2630</c:v>
                </c:pt>
                <c:pt idx="254">
                  <c:v>-2640</c:v>
                </c:pt>
                <c:pt idx="255">
                  <c:v>-2650</c:v>
                </c:pt>
                <c:pt idx="256">
                  <c:v>-2660</c:v>
                </c:pt>
                <c:pt idx="257">
                  <c:v>-2670</c:v>
                </c:pt>
                <c:pt idx="258">
                  <c:v>-2680</c:v>
                </c:pt>
                <c:pt idx="259">
                  <c:v>-2690</c:v>
                </c:pt>
                <c:pt idx="260">
                  <c:v>-2700</c:v>
                </c:pt>
                <c:pt idx="261">
                  <c:v>-2710</c:v>
                </c:pt>
                <c:pt idx="262">
                  <c:v>-2720</c:v>
                </c:pt>
                <c:pt idx="263">
                  <c:v>-2730</c:v>
                </c:pt>
                <c:pt idx="264">
                  <c:v>-2740</c:v>
                </c:pt>
                <c:pt idx="265">
                  <c:v>-2750</c:v>
                </c:pt>
                <c:pt idx="266">
                  <c:v>-2760</c:v>
                </c:pt>
                <c:pt idx="267">
                  <c:v>-2770</c:v>
                </c:pt>
                <c:pt idx="268">
                  <c:v>-2780</c:v>
                </c:pt>
                <c:pt idx="269">
                  <c:v>-2790</c:v>
                </c:pt>
                <c:pt idx="270">
                  <c:v>-2800</c:v>
                </c:pt>
                <c:pt idx="271">
                  <c:v>-2810</c:v>
                </c:pt>
                <c:pt idx="272">
                  <c:v>-2820</c:v>
                </c:pt>
                <c:pt idx="273">
                  <c:v>-2830</c:v>
                </c:pt>
                <c:pt idx="274">
                  <c:v>-2840</c:v>
                </c:pt>
                <c:pt idx="275">
                  <c:v>-2850</c:v>
                </c:pt>
                <c:pt idx="276">
                  <c:v>-2860</c:v>
                </c:pt>
                <c:pt idx="277">
                  <c:v>-2870</c:v>
                </c:pt>
                <c:pt idx="278">
                  <c:v>-2880</c:v>
                </c:pt>
                <c:pt idx="279">
                  <c:v>-2890</c:v>
                </c:pt>
                <c:pt idx="280">
                  <c:v>-2900</c:v>
                </c:pt>
                <c:pt idx="281">
                  <c:v>-2910</c:v>
                </c:pt>
                <c:pt idx="282">
                  <c:v>-2920</c:v>
                </c:pt>
                <c:pt idx="283">
                  <c:v>-2930</c:v>
                </c:pt>
                <c:pt idx="284">
                  <c:v>-2940</c:v>
                </c:pt>
                <c:pt idx="285">
                  <c:v>-2950</c:v>
                </c:pt>
                <c:pt idx="286">
                  <c:v>-2960</c:v>
                </c:pt>
                <c:pt idx="287">
                  <c:v>-2970</c:v>
                </c:pt>
                <c:pt idx="288">
                  <c:v>-2980</c:v>
                </c:pt>
                <c:pt idx="289">
                  <c:v>-2990</c:v>
                </c:pt>
                <c:pt idx="290">
                  <c:v>-3000</c:v>
                </c:pt>
                <c:pt idx="291">
                  <c:v>-3010</c:v>
                </c:pt>
                <c:pt idx="292">
                  <c:v>-3020</c:v>
                </c:pt>
                <c:pt idx="293">
                  <c:v>-3030</c:v>
                </c:pt>
                <c:pt idx="294">
                  <c:v>-3040</c:v>
                </c:pt>
                <c:pt idx="295">
                  <c:v>-3050</c:v>
                </c:pt>
                <c:pt idx="296">
                  <c:v>-3060</c:v>
                </c:pt>
                <c:pt idx="297">
                  <c:v>-3070</c:v>
                </c:pt>
                <c:pt idx="298">
                  <c:v>-3080</c:v>
                </c:pt>
                <c:pt idx="299">
                  <c:v>-3090</c:v>
                </c:pt>
                <c:pt idx="300">
                  <c:v>-3100</c:v>
                </c:pt>
                <c:pt idx="301">
                  <c:v>-3110</c:v>
                </c:pt>
                <c:pt idx="302">
                  <c:v>-3120</c:v>
                </c:pt>
                <c:pt idx="303">
                  <c:v>-3130</c:v>
                </c:pt>
                <c:pt idx="304">
                  <c:v>-3140</c:v>
                </c:pt>
                <c:pt idx="305">
                  <c:v>-3150</c:v>
                </c:pt>
                <c:pt idx="306">
                  <c:v>-3160</c:v>
                </c:pt>
                <c:pt idx="307">
                  <c:v>-3170</c:v>
                </c:pt>
                <c:pt idx="308">
                  <c:v>-3180</c:v>
                </c:pt>
                <c:pt idx="309">
                  <c:v>-3190</c:v>
                </c:pt>
                <c:pt idx="310">
                  <c:v>-3200</c:v>
                </c:pt>
                <c:pt idx="311">
                  <c:v>-3210</c:v>
                </c:pt>
                <c:pt idx="312">
                  <c:v>-3220</c:v>
                </c:pt>
                <c:pt idx="313">
                  <c:v>-3230</c:v>
                </c:pt>
                <c:pt idx="314">
                  <c:v>-3240</c:v>
                </c:pt>
                <c:pt idx="315">
                  <c:v>-3250</c:v>
                </c:pt>
                <c:pt idx="316">
                  <c:v>-3260</c:v>
                </c:pt>
                <c:pt idx="317">
                  <c:v>-3270</c:v>
                </c:pt>
                <c:pt idx="318">
                  <c:v>-3280</c:v>
                </c:pt>
                <c:pt idx="319">
                  <c:v>-3290</c:v>
                </c:pt>
                <c:pt idx="320">
                  <c:v>-3300</c:v>
                </c:pt>
                <c:pt idx="321">
                  <c:v>-3310</c:v>
                </c:pt>
                <c:pt idx="322">
                  <c:v>-3320</c:v>
                </c:pt>
                <c:pt idx="323">
                  <c:v>-3330</c:v>
                </c:pt>
              </c:numCache>
            </c:numRef>
          </c:val>
          <c:smooth val="0"/>
          <c:extLst xmlns:c16r2="http://schemas.microsoft.com/office/drawing/2015/06/chart">
            <c:ext xmlns:c16="http://schemas.microsoft.com/office/drawing/2014/chart" uri="{C3380CC4-5D6E-409C-BE32-E72D297353CC}">
              <c16:uniqueId val="{00000000-8FF3-AF4E-8D3E-09FC69965A64}"/>
            </c:ext>
          </c:extLst>
        </c:ser>
        <c:dLbls>
          <c:showLegendKey val="0"/>
          <c:showVal val="0"/>
          <c:showCatName val="0"/>
          <c:showSerName val="0"/>
          <c:showPercent val="0"/>
          <c:showBubbleSize val="0"/>
        </c:dLbls>
        <c:marker val="1"/>
        <c:smooth val="0"/>
        <c:axId val="425534912"/>
        <c:axId val="425537632"/>
      </c:lineChart>
      <c:lineChart>
        <c:grouping val="standard"/>
        <c:varyColors val="0"/>
        <c:ser>
          <c:idx val="1"/>
          <c:order val="1"/>
          <c:tx>
            <c:strRef>
              <c:f>'Altmer vs Breton'!$G$1</c:f>
              <c:strCache>
                <c:ptCount val="1"/>
                <c:pt idx="0">
                  <c:v>Recovery needed with altmer to break even</c:v>
                </c:pt>
              </c:strCache>
            </c:strRef>
          </c:tx>
          <c:spPr>
            <a:ln w="28575" cap="rnd">
              <a:solidFill>
                <a:schemeClr val="accent2"/>
              </a:solidFill>
              <a:round/>
            </a:ln>
            <a:effectLst/>
          </c:spPr>
          <c:marker>
            <c:symbol val="none"/>
          </c:marker>
          <c:val>
            <c:numRef>
              <c:f>'Altmer vs Breton'!$G$2:$G$325</c:f>
              <c:numCache>
                <c:formatCode>General</c:formatCode>
                <c:ptCount val="324"/>
                <c:pt idx="0">
                  <c:v>56.666666666666607</c:v>
                </c:pt>
                <c:pt idx="1">
                  <c:v>62.333333333333485</c:v>
                </c:pt>
                <c:pt idx="2">
                  <c:v>68.000000000000057</c:v>
                </c:pt>
                <c:pt idx="3">
                  <c:v>73.666666666666615</c:v>
                </c:pt>
                <c:pt idx="4">
                  <c:v>79.333333333333499</c:v>
                </c:pt>
                <c:pt idx="5">
                  <c:v>85.000000000000071</c:v>
                </c:pt>
                <c:pt idx="6">
                  <c:v>90.666666666666941</c:v>
                </c:pt>
                <c:pt idx="7">
                  <c:v>96.333333333333513</c:v>
                </c:pt>
                <c:pt idx="8">
                  <c:v>102.00000000000009</c:v>
                </c:pt>
                <c:pt idx="9">
                  <c:v>107.66666666666664</c:v>
                </c:pt>
                <c:pt idx="10">
                  <c:v>113.33333333333321</c:v>
                </c:pt>
                <c:pt idx="11">
                  <c:v>119.00000000000041</c:v>
                </c:pt>
                <c:pt idx="12">
                  <c:v>124.66666666666697</c:v>
                </c:pt>
                <c:pt idx="13">
                  <c:v>130.33333333333354</c:v>
                </c:pt>
                <c:pt idx="14">
                  <c:v>136.00000000000011</c:v>
                </c:pt>
                <c:pt idx="15">
                  <c:v>141.66666666666669</c:v>
                </c:pt>
                <c:pt idx="16">
                  <c:v>147.33333333333323</c:v>
                </c:pt>
                <c:pt idx="17">
                  <c:v>153.00000000000043</c:v>
                </c:pt>
                <c:pt idx="18">
                  <c:v>158.666666666667</c:v>
                </c:pt>
                <c:pt idx="19">
                  <c:v>164.33333333333357</c:v>
                </c:pt>
                <c:pt idx="20">
                  <c:v>170.00000000000014</c:v>
                </c:pt>
                <c:pt idx="21">
                  <c:v>175.66666666666669</c:v>
                </c:pt>
                <c:pt idx="22">
                  <c:v>181.33333333333388</c:v>
                </c:pt>
                <c:pt idx="23">
                  <c:v>187.00000000000045</c:v>
                </c:pt>
                <c:pt idx="24">
                  <c:v>192.66666666666703</c:v>
                </c:pt>
                <c:pt idx="25">
                  <c:v>198.3333333333336</c:v>
                </c:pt>
                <c:pt idx="26">
                  <c:v>204.00000000000017</c:v>
                </c:pt>
                <c:pt idx="27">
                  <c:v>209.66666666666671</c:v>
                </c:pt>
                <c:pt idx="28">
                  <c:v>215.33333333333329</c:v>
                </c:pt>
                <c:pt idx="29">
                  <c:v>220.99999999999986</c:v>
                </c:pt>
                <c:pt idx="30">
                  <c:v>226.66666666666643</c:v>
                </c:pt>
                <c:pt idx="31">
                  <c:v>232.333333333333</c:v>
                </c:pt>
                <c:pt idx="32">
                  <c:v>238.00000000000082</c:v>
                </c:pt>
                <c:pt idx="33">
                  <c:v>243.6666666666674</c:v>
                </c:pt>
                <c:pt idx="34">
                  <c:v>249.33333333333394</c:v>
                </c:pt>
                <c:pt idx="35">
                  <c:v>255.00000000000051</c:v>
                </c:pt>
                <c:pt idx="36">
                  <c:v>260.66666666666708</c:v>
                </c:pt>
                <c:pt idx="37">
                  <c:v>266.33333333333366</c:v>
                </c:pt>
                <c:pt idx="38">
                  <c:v>272.00000000000023</c:v>
                </c:pt>
                <c:pt idx="39">
                  <c:v>277.6666666666668</c:v>
                </c:pt>
                <c:pt idx="40">
                  <c:v>283.33333333333337</c:v>
                </c:pt>
                <c:pt idx="41">
                  <c:v>288.99999999999989</c:v>
                </c:pt>
                <c:pt idx="42">
                  <c:v>294.66666666666646</c:v>
                </c:pt>
                <c:pt idx="43">
                  <c:v>300.33333333333303</c:v>
                </c:pt>
                <c:pt idx="44">
                  <c:v>306.00000000000085</c:v>
                </c:pt>
                <c:pt idx="45">
                  <c:v>311.66666666666742</c:v>
                </c:pt>
                <c:pt idx="46">
                  <c:v>317.333333333334</c:v>
                </c:pt>
                <c:pt idx="47">
                  <c:v>323.00000000000057</c:v>
                </c:pt>
                <c:pt idx="48">
                  <c:v>328.66666666666714</c:v>
                </c:pt>
                <c:pt idx="49">
                  <c:v>334.33333333333371</c:v>
                </c:pt>
                <c:pt idx="50">
                  <c:v>340.00000000000028</c:v>
                </c:pt>
                <c:pt idx="51">
                  <c:v>345.66666666666686</c:v>
                </c:pt>
                <c:pt idx="52">
                  <c:v>351.33333333333337</c:v>
                </c:pt>
                <c:pt idx="53">
                  <c:v>357.00000000000125</c:v>
                </c:pt>
                <c:pt idx="54">
                  <c:v>362.66666666666777</c:v>
                </c:pt>
                <c:pt idx="55">
                  <c:v>368.33333333333434</c:v>
                </c:pt>
                <c:pt idx="56">
                  <c:v>374.00000000000091</c:v>
                </c:pt>
                <c:pt idx="57">
                  <c:v>379.66666666666748</c:v>
                </c:pt>
                <c:pt idx="58">
                  <c:v>385.33333333333405</c:v>
                </c:pt>
                <c:pt idx="59">
                  <c:v>391.00000000000063</c:v>
                </c:pt>
                <c:pt idx="60">
                  <c:v>396.6666666666672</c:v>
                </c:pt>
                <c:pt idx="61">
                  <c:v>402.33333333333377</c:v>
                </c:pt>
                <c:pt idx="62">
                  <c:v>408.00000000000034</c:v>
                </c:pt>
                <c:pt idx="63">
                  <c:v>413.66666666666686</c:v>
                </c:pt>
                <c:pt idx="64">
                  <c:v>419.33333333333343</c:v>
                </c:pt>
                <c:pt idx="65">
                  <c:v>425</c:v>
                </c:pt>
                <c:pt idx="66">
                  <c:v>430.66666666666657</c:v>
                </c:pt>
                <c:pt idx="67">
                  <c:v>436.33333333333314</c:v>
                </c:pt>
                <c:pt idx="68">
                  <c:v>441.99999999999972</c:v>
                </c:pt>
                <c:pt idx="69">
                  <c:v>447.66666666666629</c:v>
                </c:pt>
                <c:pt idx="70">
                  <c:v>453.33333333333286</c:v>
                </c:pt>
                <c:pt idx="71">
                  <c:v>458.99999999999943</c:v>
                </c:pt>
                <c:pt idx="72">
                  <c:v>464.666666666666</c:v>
                </c:pt>
                <c:pt idx="73">
                  <c:v>470.33333333333252</c:v>
                </c:pt>
                <c:pt idx="74">
                  <c:v>476.00000000000165</c:v>
                </c:pt>
                <c:pt idx="75">
                  <c:v>481.66666666666822</c:v>
                </c:pt>
                <c:pt idx="76">
                  <c:v>487.33333333333479</c:v>
                </c:pt>
                <c:pt idx="77">
                  <c:v>493.00000000000131</c:v>
                </c:pt>
                <c:pt idx="78">
                  <c:v>498.66666666666788</c:v>
                </c:pt>
                <c:pt idx="79">
                  <c:v>504.33333333333445</c:v>
                </c:pt>
                <c:pt idx="80">
                  <c:v>510.00000000000102</c:v>
                </c:pt>
                <c:pt idx="81">
                  <c:v>515.66666666666765</c:v>
                </c:pt>
                <c:pt idx="82">
                  <c:v>521.33333333333417</c:v>
                </c:pt>
                <c:pt idx="83">
                  <c:v>527.00000000000068</c:v>
                </c:pt>
                <c:pt idx="84">
                  <c:v>532.66666666666731</c:v>
                </c:pt>
                <c:pt idx="85">
                  <c:v>538.33333333333383</c:v>
                </c:pt>
                <c:pt idx="86">
                  <c:v>544.00000000000045</c:v>
                </c:pt>
                <c:pt idx="87">
                  <c:v>549.66666666666697</c:v>
                </c:pt>
                <c:pt idx="88">
                  <c:v>555.3333333333336</c:v>
                </c:pt>
                <c:pt idx="89">
                  <c:v>561.00000000000011</c:v>
                </c:pt>
                <c:pt idx="90">
                  <c:v>566.66666666666674</c:v>
                </c:pt>
                <c:pt idx="91">
                  <c:v>572.33333333333326</c:v>
                </c:pt>
                <c:pt idx="92">
                  <c:v>577.99999999999977</c:v>
                </c:pt>
                <c:pt idx="93">
                  <c:v>583.6666666666664</c:v>
                </c:pt>
                <c:pt idx="94">
                  <c:v>589.33333333333292</c:v>
                </c:pt>
                <c:pt idx="95">
                  <c:v>594.99999999999955</c:v>
                </c:pt>
                <c:pt idx="96">
                  <c:v>600.66666666666606</c:v>
                </c:pt>
                <c:pt idx="97">
                  <c:v>606.33333333333269</c:v>
                </c:pt>
                <c:pt idx="98">
                  <c:v>612.00000000000171</c:v>
                </c:pt>
                <c:pt idx="99">
                  <c:v>617.66666666666833</c:v>
                </c:pt>
                <c:pt idx="100">
                  <c:v>623.33333333333485</c:v>
                </c:pt>
                <c:pt idx="101">
                  <c:v>629.00000000000148</c:v>
                </c:pt>
                <c:pt idx="102">
                  <c:v>634.66666666666799</c:v>
                </c:pt>
                <c:pt idx="103">
                  <c:v>640.33333333333462</c:v>
                </c:pt>
                <c:pt idx="104">
                  <c:v>646.00000000000114</c:v>
                </c:pt>
                <c:pt idx="105">
                  <c:v>651.66666666666765</c:v>
                </c:pt>
                <c:pt idx="106">
                  <c:v>657.33333333333428</c:v>
                </c:pt>
                <c:pt idx="107">
                  <c:v>663.0000000000008</c:v>
                </c:pt>
                <c:pt idx="108">
                  <c:v>668.66666666666742</c:v>
                </c:pt>
                <c:pt idx="109">
                  <c:v>674.33333333333394</c:v>
                </c:pt>
                <c:pt idx="110">
                  <c:v>680.00000000000057</c:v>
                </c:pt>
                <c:pt idx="111">
                  <c:v>685.66666666666708</c:v>
                </c:pt>
                <c:pt idx="112">
                  <c:v>691.33333333333371</c:v>
                </c:pt>
                <c:pt idx="113">
                  <c:v>697.00000000000023</c:v>
                </c:pt>
                <c:pt idx="114">
                  <c:v>702.66666666666674</c:v>
                </c:pt>
                <c:pt idx="115">
                  <c:v>708.33333333333337</c:v>
                </c:pt>
                <c:pt idx="116">
                  <c:v>714.0000000000025</c:v>
                </c:pt>
                <c:pt idx="117">
                  <c:v>719.66666666666652</c:v>
                </c:pt>
                <c:pt idx="118">
                  <c:v>725.33333333333553</c:v>
                </c:pt>
                <c:pt idx="119">
                  <c:v>730.99999999999966</c:v>
                </c:pt>
                <c:pt idx="120">
                  <c:v>736.66666666666868</c:v>
                </c:pt>
                <c:pt idx="121">
                  <c:v>742.3333333333328</c:v>
                </c:pt>
                <c:pt idx="122">
                  <c:v>748.00000000000182</c:v>
                </c:pt>
                <c:pt idx="123">
                  <c:v>753.66666666666583</c:v>
                </c:pt>
                <c:pt idx="124">
                  <c:v>759.33333333333496</c:v>
                </c:pt>
                <c:pt idx="125">
                  <c:v>764.99999999999898</c:v>
                </c:pt>
                <c:pt idx="126">
                  <c:v>770.66666666666811</c:v>
                </c:pt>
                <c:pt idx="127">
                  <c:v>776.33333333333212</c:v>
                </c:pt>
                <c:pt idx="128">
                  <c:v>782.00000000000125</c:v>
                </c:pt>
                <c:pt idx="129">
                  <c:v>787.66666666666526</c:v>
                </c:pt>
                <c:pt idx="130">
                  <c:v>793.33333333333439</c:v>
                </c:pt>
                <c:pt idx="131">
                  <c:v>798.99999999999841</c:v>
                </c:pt>
                <c:pt idx="132">
                  <c:v>804.66666666666754</c:v>
                </c:pt>
                <c:pt idx="133">
                  <c:v>810.33333333333655</c:v>
                </c:pt>
                <c:pt idx="134">
                  <c:v>816.00000000000068</c:v>
                </c:pt>
                <c:pt idx="135">
                  <c:v>821.6666666666697</c:v>
                </c:pt>
                <c:pt idx="136">
                  <c:v>827.33333333333371</c:v>
                </c:pt>
                <c:pt idx="137">
                  <c:v>833.00000000000284</c:v>
                </c:pt>
                <c:pt idx="138">
                  <c:v>838.66666666666686</c:v>
                </c:pt>
                <c:pt idx="139">
                  <c:v>844.33333333333599</c:v>
                </c:pt>
                <c:pt idx="140">
                  <c:v>850</c:v>
                </c:pt>
                <c:pt idx="141">
                  <c:v>855.66666666666913</c:v>
                </c:pt>
                <c:pt idx="142">
                  <c:v>861.33333333333314</c:v>
                </c:pt>
                <c:pt idx="143">
                  <c:v>867.00000000000227</c:v>
                </c:pt>
                <c:pt idx="144">
                  <c:v>872.66666666666629</c:v>
                </c:pt>
                <c:pt idx="145">
                  <c:v>878.33333333333542</c:v>
                </c:pt>
                <c:pt idx="146">
                  <c:v>883.99999999999943</c:v>
                </c:pt>
                <c:pt idx="147">
                  <c:v>889.66666666666856</c:v>
                </c:pt>
                <c:pt idx="148">
                  <c:v>895.33333333333258</c:v>
                </c:pt>
                <c:pt idx="149">
                  <c:v>901.00000000000171</c:v>
                </c:pt>
                <c:pt idx="150">
                  <c:v>906.66666666666572</c:v>
                </c:pt>
                <c:pt idx="151">
                  <c:v>912.33333333333474</c:v>
                </c:pt>
                <c:pt idx="152">
                  <c:v>917.99999999999886</c:v>
                </c:pt>
                <c:pt idx="153">
                  <c:v>923.66666666666788</c:v>
                </c:pt>
                <c:pt idx="154">
                  <c:v>929.33333333333201</c:v>
                </c:pt>
                <c:pt idx="155">
                  <c:v>935.00000000000102</c:v>
                </c:pt>
                <c:pt idx="156">
                  <c:v>940.66666666666504</c:v>
                </c:pt>
                <c:pt idx="157">
                  <c:v>946.33333333333417</c:v>
                </c:pt>
                <c:pt idx="158">
                  <c:v>952.0000000000033</c:v>
                </c:pt>
                <c:pt idx="159">
                  <c:v>957.66666666666731</c:v>
                </c:pt>
                <c:pt idx="160">
                  <c:v>963.33333333333644</c:v>
                </c:pt>
                <c:pt idx="161">
                  <c:v>969.00000000000045</c:v>
                </c:pt>
                <c:pt idx="162">
                  <c:v>974.66666666666958</c:v>
                </c:pt>
                <c:pt idx="163">
                  <c:v>980.3333333333336</c:v>
                </c:pt>
                <c:pt idx="164">
                  <c:v>986.00000000000261</c:v>
                </c:pt>
                <c:pt idx="165">
                  <c:v>991.66666666666674</c:v>
                </c:pt>
                <c:pt idx="166">
                  <c:v>997.33333333333576</c:v>
                </c:pt>
                <c:pt idx="167">
                  <c:v>1002.9999999999999</c:v>
                </c:pt>
                <c:pt idx="168">
                  <c:v>1008.6666666666689</c:v>
                </c:pt>
                <c:pt idx="169">
                  <c:v>1014.3333333333329</c:v>
                </c:pt>
                <c:pt idx="170">
                  <c:v>1020.000000000002</c:v>
                </c:pt>
                <c:pt idx="171">
                  <c:v>1025.6666666666661</c:v>
                </c:pt>
                <c:pt idx="172">
                  <c:v>1031.3333333333353</c:v>
                </c:pt>
                <c:pt idx="173">
                  <c:v>1036.9999999999993</c:v>
                </c:pt>
                <c:pt idx="174">
                  <c:v>1042.6666666666683</c:v>
                </c:pt>
                <c:pt idx="175">
                  <c:v>1048.3333333333323</c:v>
                </c:pt>
                <c:pt idx="176">
                  <c:v>1054.0000000000014</c:v>
                </c:pt>
                <c:pt idx="177">
                  <c:v>1059.6666666666656</c:v>
                </c:pt>
                <c:pt idx="178">
                  <c:v>1065.3333333333346</c:v>
                </c:pt>
                <c:pt idx="179">
                  <c:v>1070.9999999999986</c:v>
                </c:pt>
                <c:pt idx="180">
                  <c:v>1076.6666666666677</c:v>
                </c:pt>
                <c:pt idx="181">
                  <c:v>1082.3333333333369</c:v>
                </c:pt>
                <c:pt idx="182">
                  <c:v>1088.0000000000009</c:v>
                </c:pt>
                <c:pt idx="183">
                  <c:v>1093.6666666666699</c:v>
                </c:pt>
                <c:pt idx="184">
                  <c:v>1099.3333333333339</c:v>
                </c:pt>
                <c:pt idx="185">
                  <c:v>1105.0000000000032</c:v>
                </c:pt>
                <c:pt idx="186">
                  <c:v>1110.6666666666672</c:v>
                </c:pt>
                <c:pt idx="187">
                  <c:v>1116.3333333333362</c:v>
                </c:pt>
                <c:pt idx="188">
                  <c:v>1122.0000000000002</c:v>
                </c:pt>
                <c:pt idx="189">
                  <c:v>1127.6666666666692</c:v>
                </c:pt>
                <c:pt idx="190">
                  <c:v>1133.3333333333335</c:v>
                </c:pt>
                <c:pt idx="191">
                  <c:v>1139.0000000000025</c:v>
                </c:pt>
                <c:pt idx="192">
                  <c:v>1144.6666666666665</c:v>
                </c:pt>
                <c:pt idx="193">
                  <c:v>1150.3333333333355</c:v>
                </c:pt>
                <c:pt idx="194">
                  <c:v>1155.9999999999995</c:v>
                </c:pt>
                <c:pt idx="195">
                  <c:v>1161.6666666666688</c:v>
                </c:pt>
                <c:pt idx="196">
                  <c:v>1167.3333333333328</c:v>
                </c:pt>
                <c:pt idx="197">
                  <c:v>1173.0000000000018</c:v>
                </c:pt>
                <c:pt idx="198">
                  <c:v>1178.6666666666658</c:v>
                </c:pt>
                <c:pt idx="199">
                  <c:v>1184.3333333333351</c:v>
                </c:pt>
                <c:pt idx="200">
                  <c:v>1189.9999999999991</c:v>
                </c:pt>
                <c:pt idx="201">
                  <c:v>1195.6666666666681</c:v>
                </c:pt>
                <c:pt idx="202">
                  <c:v>1201.3333333333321</c:v>
                </c:pt>
                <c:pt idx="203">
                  <c:v>1207.0000000000014</c:v>
                </c:pt>
                <c:pt idx="204">
                  <c:v>1212.6666666666654</c:v>
                </c:pt>
                <c:pt idx="205">
                  <c:v>1218.3333333333344</c:v>
                </c:pt>
                <c:pt idx="206">
                  <c:v>1224.0000000000034</c:v>
                </c:pt>
                <c:pt idx="207">
                  <c:v>1229.6666666666674</c:v>
                </c:pt>
                <c:pt idx="208">
                  <c:v>1235.3333333333367</c:v>
                </c:pt>
                <c:pt idx="209">
                  <c:v>1241.0000000000007</c:v>
                </c:pt>
                <c:pt idx="210">
                  <c:v>1246.6666666666697</c:v>
                </c:pt>
                <c:pt idx="211">
                  <c:v>1252.3333333333337</c:v>
                </c:pt>
                <c:pt idx="212">
                  <c:v>1258.000000000003</c:v>
                </c:pt>
                <c:pt idx="213">
                  <c:v>1263.666666666667</c:v>
                </c:pt>
                <c:pt idx="214">
                  <c:v>1269.333333333336</c:v>
                </c:pt>
                <c:pt idx="215">
                  <c:v>1275</c:v>
                </c:pt>
                <c:pt idx="216">
                  <c:v>1280.6666666666692</c:v>
                </c:pt>
                <c:pt idx="217">
                  <c:v>1286.3333333333333</c:v>
                </c:pt>
                <c:pt idx="218">
                  <c:v>1292.0000000000023</c:v>
                </c:pt>
                <c:pt idx="219">
                  <c:v>1297.6666666666663</c:v>
                </c:pt>
                <c:pt idx="220">
                  <c:v>1303.3333333333353</c:v>
                </c:pt>
                <c:pt idx="221">
                  <c:v>1308.9999999999995</c:v>
                </c:pt>
                <c:pt idx="222">
                  <c:v>1314.6666666666686</c:v>
                </c:pt>
                <c:pt idx="223">
                  <c:v>1320.3333333333326</c:v>
                </c:pt>
                <c:pt idx="224">
                  <c:v>1326.0000000000016</c:v>
                </c:pt>
                <c:pt idx="225">
                  <c:v>1331.6666666666656</c:v>
                </c:pt>
                <c:pt idx="226">
                  <c:v>1337.3333333333348</c:v>
                </c:pt>
                <c:pt idx="227">
                  <c:v>1342.9999999999989</c:v>
                </c:pt>
                <c:pt idx="228">
                  <c:v>1348.6666666666679</c:v>
                </c:pt>
                <c:pt idx="229">
                  <c:v>1354.3333333333371</c:v>
                </c:pt>
                <c:pt idx="230">
                  <c:v>1360.0000000000011</c:v>
                </c:pt>
                <c:pt idx="231">
                  <c:v>1365.6666666666702</c:v>
                </c:pt>
                <c:pt idx="232">
                  <c:v>1371.3333333333342</c:v>
                </c:pt>
                <c:pt idx="233">
                  <c:v>1377.0000000000032</c:v>
                </c:pt>
                <c:pt idx="234">
                  <c:v>1382.6666666666674</c:v>
                </c:pt>
                <c:pt idx="235">
                  <c:v>1388.3333333333364</c:v>
                </c:pt>
                <c:pt idx="236">
                  <c:v>1394.0000000000005</c:v>
                </c:pt>
                <c:pt idx="237">
                  <c:v>1399.6666666666695</c:v>
                </c:pt>
                <c:pt idx="238">
                  <c:v>1405.3333333333335</c:v>
                </c:pt>
                <c:pt idx="239">
                  <c:v>1410.9999999999977</c:v>
                </c:pt>
                <c:pt idx="240">
                  <c:v>1416.6666666666667</c:v>
                </c:pt>
                <c:pt idx="241">
                  <c:v>1422.3333333333358</c:v>
                </c:pt>
                <c:pt idx="242">
                  <c:v>1428.000000000005</c:v>
                </c:pt>
                <c:pt idx="243">
                  <c:v>1433.6666666666638</c:v>
                </c:pt>
                <c:pt idx="244">
                  <c:v>1439.333333333333</c:v>
                </c:pt>
                <c:pt idx="245">
                  <c:v>1445.000000000002</c:v>
                </c:pt>
                <c:pt idx="246">
                  <c:v>1450.6666666666711</c:v>
                </c:pt>
                <c:pt idx="247">
                  <c:v>1456.3333333333301</c:v>
                </c:pt>
                <c:pt idx="248">
                  <c:v>1461.9999999999993</c:v>
                </c:pt>
                <c:pt idx="249">
                  <c:v>1467.6666666666683</c:v>
                </c:pt>
                <c:pt idx="250">
                  <c:v>1473.3333333333374</c:v>
                </c:pt>
                <c:pt idx="251">
                  <c:v>1478.9999999999964</c:v>
                </c:pt>
                <c:pt idx="252">
                  <c:v>1484.6666666666656</c:v>
                </c:pt>
                <c:pt idx="253">
                  <c:v>1490.3333333333346</c:v>
                </c:pt>
                <c:pt idx="254">
                  <c:v>1496.0000000000036</c:v>
                </c:pt>
                <c:pt idx="255">
                  <c:v>1501.6666666666729</c:v>
                </c:pt>
                <c:pt idx="256">
                  <c:v>1507.3333333333317</c:v>
                </c:pt>
                <c:pt idx="257">
                  <c:v>1513.0000000000009</c:v>
                </c:pt>
                <c:pt idx="258">
                  <c:v>1518.6666666666699</c:v>
                </c:pt>
                <c:pt idx="259">
                  <c:v>1524.3333333333389</c:v>
                </c:pt>
                <c:pt idx="260">
                  <c:v>1529.999999999998</c:v>
                </c:pt>
                <c:pt idx="261">
                  <c:v>1535.6666666666672</c:v>
                </c:pt>
                <c:pt idx="262">
                  <c:v>1541.3333333333362</c:v>
                </c:pt>
                <c:pt idx="263">
                  <c:v>1547.0000000000052</c:v>
                </c:pt>
                <c:pt idx="264">
                  <c:v>1552.6666666666642</c:v>
                </c:pt>
                <c:pt idx="265">
                  <c:v>1558.3333333333335</c:v>
                </c:pt>
                <c:pt idx="266">
                  <c:v>1564.0000000000025</c:v>
                </c:pt>
                <c:pt idx="267">
                  <c:v>1569.6666666666715</c:v>
                </c:pt>
                <c:pt idx="268">
                  <c:v>1575.3333333333305</c:v>
                </c:pt>
                <c:pt idx="269">
                  <c:v>1580.9999999999995</c:v>
                </c:pt>
                <c:pt idx="270">
                  <c:v>1586.6666666666688</c:v>
                </c:pt>
                <c:pt idx="271">
                  <c:v>1592.3333333333378</c:v>
                </c:pt>
                <c:pt idx="272">
                  <c:v>1597.9999999999968</c:v>
                </c:pt>
                <c:pt idx="273">
                  <c:v>1603.6666666666658</c:v>
                </c:pt>
                <c:pt idx="274">
                  <c:v>1609.3333333333351</c:v>
                </c:pt>
                <c:pt idx="275">
                  <c:v>1615.0000000000041</c:v>
                </c:pt>
                <c:pt idx="276">
                  <c:v>1620.6666666666731</c:v>
                </c:pt>
                <c:pt idx="277">
                  <c:v>1626.3333333333321</c:v>
                </c:pt>
                <c:pt idx="278">
                  <c:v>1632.0000000000014</c:v>
                </c:pt>
                <c:pt idx="279">
                  <c:v>1637.6666666666704</c:v>
                </c:pt>
                <c:pt idx="280">
                  <c:v>1643.3333333333394</c:v>
                </c:pt>
                <c:pt idx="281">
                  <c:v>1648.9999999999984</c:v>
                </c:pt>
                <c:pt idx="282">
                  <c:v>1654.6666666666674</c:v>
                </c:pt>
                <c:pt idx="283">
                  <c:v>1660.3333333333367</c:v>
                </c:pt>
                <c:pt idx="284">
                  <c:v>1666.0000000000057</c:v>
                </c:pt>
                <c:pt idx="285">
                  <c:v>1671.6666666666647</c:v>
                </c:pt>
                <c:pt idx="286">
                  <c:v>1677.3333333333337</c:v>
                </c:pt>
                <c:pt idx="287">
                  <c:v>1683.000000000003</c:v>
                </c:pt>
                <c:pt idx="288">
                  <c:v>1688.666666666672</c:v>
                </c:pt>
                <c:pt idx="289">
                  <c:v>1694.333333333331</c:v>
                </c:pt>
                <c:pt idx="290">
                  <c:v>1700</c:v>
                </c:pt>
                <c:pt idx="291">
                  <c:v>1705.6666666666692</c:v>
                </c:pt>
                <c:pt idx="292">
                  <c:v>1711.3333333333383</c:v>
                </c:pt>
                <c:pt idx="293">
                  <c:v>1716.9999999999973</c:v>
                </c:pt>
                <c:pt idx="294">
                  <c:v>1722.6666666666663</c:v>
                </c:pt>
                <c:pt idx="295">
                  <c:v>1728.3333333333355</c:v>
                </c:pt>
                <c:pt idx="296">
                  <c:v>1734.0000000000045</c:v>
                </c:pt>
                <c:pt idx="297">
                  <c:v>1739.6666666666636</c:v>
                </c:pt>
                <c:pt idx="298">
                  <c:v>1745.3333333333326</c:v>
                </c:pt>
                <c:pt idx="299">
                  <c:v>1751.0000000000016</c:v>
                </c:pt>
                <c:pt idx="300">
                  <c:v>1756.6666666666708</c:v>
                </c:pt>
                <c:pt idx="301">
                  <c:v>1762.3333333333399</c:v>
                </c:pt>
                <c:pt idx="302">
                  <c:v>1767.9999999999989</c:v>
                </c:pt>
                <c:pt idx="303">
                  <c:v>1773.6666666666679</c:v>
                </c:pt>
                <c:pt idx="304">
                  <c:v>1779.3333333333371</c:v>
                </c:pt>
                <c:pt idx="305">
                  <c:v>1785.0000000000061</c:v>
                </c:pt>
                <c:pt idx="306">
                  <c:v>1790.6666666666652</c:v>
                </c:pt>
                <c:pt idx="307">
                  <c:v>1796.3333333333342</c:v>
                </c:pt>
                <c:pt idx="308">
                  <c:v>1802.0000000000034</c:v>
                </c:pt>
                <c:pt idx="309">
                  <c:v>1807.6666666666724</c:v>
                </c:pt>
                <c:pt idx="310">
                  <c:v>1813.3333333333314</c:v>
                </c:pt>
                <c:pt idx="311">
                  <c:v>1819.0000000000005</c:v>
                </c:pt>
                <c:pt idx="312">
                  <c:v>1824.6666666666695</c:v>
                </c:pt>
                <c:pt idx="313">
                  <c:v>1830.3333333333387</c:v>
                </c:pt>
                <c:pt idx="314">
                  <c:v>1835.9999999999977</c:v>
                </c:pt>
                <c:pt idx="315">
                  <c:v>1841.6666666666667</c:v>
                </c:pt>
                <c:pt idx="316">
                  <c:v>1847.3333333333358</c:v>
                </c:pt>
                <c:pt idx="317">
                  <c:v>1853.000000000005</c:v>
                </c:pt>
                <c:pt idx="318">
                  <c:v>1858.666666666664</c:v>
                </c:pt>
                <c:pt idx="319">
                  <c:v>1864.333333333333</c:v>
                </c:pt>
                <c:pt idx="320">
                  <c:v>1870.000000000002</c:v>
                </c:pt>
                <c:pt idx="321">
                  <c:v>1875.6666666666713</c:v>
                </c:pt>
                <c:pt idx="322">
                  <c:v>1881.3333333333301</c:v>
                </c:pt>
                <c:pt idx="323">
                  <c:v>1886.9999999999993</c:v>
                </c:pt>
              </c:numCache>
            </c:numRef>
          </c:val>
          <c:smooth val="0"/>
          <c:extLst xmlns:c16r2="http://schemas.microsoft.com/office/drawing/2015/06/chart">
            <c:ext xmlns:c16="http://schemas.microsoft.com/office/drawing/2014/chart" uri="{C3380CC4-5D6E-409C-BE32-E72D297353CC}">
              <c16:uniqueId val="{00000001-8FF3-AF4E-8D3E-09FC69965A64}"/>
            </c:ext>
          </c:extLst>
        </c:ser>
        <c:dLbls>
          <c:showLegendKey val="0"/>
          <c:showVal val="0"/>
          <c:showCatName val="0"/>
          <c:showSerName val="0"/>
          <c:showPercent val="0"/>
          <c:showBubbleSize val="0"/>
        </c:dLbls>
        <c:marker val="1"/>
        <c:smooth val="0"/>
        <c:axId val="425532736"/>
        <c:axId val="425530560"/>
      </c:lineChart>
      <c:catAx>
        <c:axId val="425534912"/>
        <c:scaling>
          <c:orientation val="minMax"/>
        </c:scaling>
        <c:delete val="1"/>
        <c:axPos val="b"/>
        <c:majorTickMark val="none"/>
        <c:minorTickMark val="none"/>
        <c:tickLblPos val="nextTo"/>
        <c:crossAx val="425537632"/>
        <c:crosses val="autoZero"/>
        <c:auto val="1"/>
        <c:lblAlgn val="ctr"/>
        <c:lblOffset val="100"/>
        <c:noMultiLvlLbl val="0"/>
      </c:catAx>
      <c:valAx>
        <c:axId val="42553763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AvCost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5534912"/>
        <c:crosses val="autoZero"/>
        <c:crossBetween val="between"/>
      </c:valAx>
      <c:valAx>
        <c:axId val="425530560"/>
        <c:scaling>
          <c:orientation val="minMax"/>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(BaseReco+SumFlatReco)</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5532736"/>
        <c:crosses val="max"/>
        <c:crossBetween val="between"/>
      </c:valAx>
      <c:catAx>
        <c:axId val="425532736"/>
        <c:scaling>
          <c:orientation val="minMax"/>
        </c:scaling>
        <c:delete val="1"/>
        <c:axPos val="b"/>
        <c:majorTickMark val="out"/>
        <c:minorTickMark val="none"/>
        <c:tickLblPos val="nextTo"/>
        <c:crossAx val="42553056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190500</xdr:colOff>
          <xdr:row>0</xdr:row>
          <xdr:rowOff>161925</xdr:rowOff>
        </xdr:from>
        <xdr:to>
          <xdr:col>3</xdr:col>
          <xdr:colOff>1295400</xdr:colOff>
          <xdr:row>1</xdr:row>
          <xdr:rowOff>171450</xdr:rowOff>
        </xdr:to>
        <xdr:sp macro="" textlink="">
          <xdr:nvSpPr>
            <xdr:cNvPr id="1046" name="Button 22" hidden="1">
              <a:extLst>
                <a:ext uri="{63B3BB69-23CF-44E3-9099-C40C66FF867C}">
                  <a14:compatExt spid="_x0000_s1046"/>
                </a:ext>
                <a:ext uri="{FF2B5EF4-FFF2-40B4-BE49-F238E27FC236}">
                  <a16:creationId xmlns:a16="http://schemas.microsoft.com/office/drawing/2014/main" xmlns="" id="{00000000-0008-0000-0000-00001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Copy over other Setups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190500</xdr:colOff>
          <xdr:row>0</xdr:row>
          <xdr:rowOff>161925</xdr:rowOff>
        </xdr:from>
        <xdr:to>
          <xdr:col>11</xdr:col>
          <xdr:colOff>285750</xdr:colOff>
          <xdr:row>1</xdr:row>
          <xdr:rowOff>171450</xdr:rowOff>
        </xdr:to>
        <xdr:sp macro="" textlink="">
          <xdr:nvSpPr>
            <xdr:cNvPr id="1048" name="Button 24" hidden="1">
              <a:extLst>
                <a:ext uri="{63B3BB69-23CF-44E3-9099-C40C66FF867C}">
                  <a14:compatExt spid="_x0000_s1048"/>
                </a:ext>
                <a:ext uri="{FF2B5EF4-FFF2-40B4-BE49-F238E27FC236}">
                  <a16:creationId xmlns:a16="http://schemas.microsoft.com/office/drawing/2014/main" xmlns="" id="{00000000-0008-0000-0000-00001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Copy over other Setups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190500</xdr:colOff>
          <xdr:row>0</xdr:row>
          <xdr:rowOff>161925</xdr:rowOff>
        </xdr:from>
        <xdr:to>
          <xdr:col>17</xdr:col>
          <xdr:colOff>1295400</xdr:colOff>
          <xdr:row>1</xdr:row>
          <xdr:rowOff>171450</xdr:rowOff>
        </xdr:to>
        <xdr:sp macro="" textlink="">
          <xdr:nvSpPr>
            <xdr:cNvPr id="1049" name="Button 25" hidden="1">
              <a:extLst>
                <a:ext uri="{63B3BB69-23CF-44E3-9099-C40C66FF867C}">
                  <a14:compatExt spid="_x0000_s1049"/>
                </a:ext>
                <a:ext uri="{FF2B5EF4-FFF2-40B4-BE49-F238E27FC236}">
                  <a16:creationId xmlns:a16="http://schemas.microsoft.com/office/drawing/2014/main" xmlns="" id="{00000000-0008-0000-0000-00001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Copy over other Setups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190500</xdr:colOff>
          <xdr:row>29</xdr:row>
          <xdr:rowOff>161925</xdr:rowOff>
        </xdr:from>
        <xdr:to>
          <xdr:col>3</xdr:col>
          <xdr:colOff>1295400</xdr:colOff>
          <xdr:row>30</xdr:row>
          <xdr:rowOff>171450</xdr:rowOff>
        </xdr:to>
        <xdr:sp macro="" textlink="">
          <xdr:nvSpPr>
            <xdr:cNvPr id="1052" name="Button 28" hidden="1">
              <a:extLst>
                <a:ext uri="{63B3BB69-23CF-44E3-9099-C40C66FF867C}">
                  <a14:compatExt spid="_x0000_s1052"/>
                </a:ext>
                <a:ext uri="{FF2B5EF4-FFF2-40B4-BE49-F238E27FC236}">
                  <a16:creationId xmlns:a16="http://schemas.microsoft.com/office/drawing/2014/main" xmlns="" id="{00000000-0008-0000-0000-00001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Copy over other Setups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190500</xdr:colOff>
          <xdr:row>29</xdr:row>
          <xdr:rowOff>161925</xdr:rowOff>
        </xdr:from>
        <xdr:to>
          <xdr:col>11</xdr:col>
          <xdr:colOff>285750</xdr:colOff>
          <xdr:row>30</xdr:row>
          <xdr:rowOff>171450</xdr:rowOff>
        </xdr:to>
        <xdr:sp macro="" textlink="">
          <xdr:nvSpPr>
            <xdr:cNvPr id="1053" name="Button 29" hidden="1">
              <a:extLst>
                <a:ext uri="{63B3BB69-23CF-44E3-9099-C40C66FF867C}">
                  <a14:compatExt spid="_x0000_s1053"/>
                </a:ext>
                <a:ext uri="{FF2B5EF4-FFF2-40B4-BE49-F238E27FC236}">
                  <a16:creationId xmlns:a16="http://schemas.microsoft.com/office/drawing/2014/main" xmlns="" id="{00000000-0008-0000-0000-00001D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Copy over other Setups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190500</xdr:colOff>
          <xdr:row>29</xdr:row>
          <xdr:rowOff>161925</xdr:rowOff>
        </xdr:from>
        <xdr:to>
          <xdr:col>17</xdr:col>
          <xdr:colOff>1295400</xdr:colOff>
          <xdr:row>30</xdr:row>
          <xdr:rowOff>171450</xdr:rowOff>
        </xdr:to>
        <xdr:sp macro="" textlink="">
          <xdr:nvSpPr>
            <xdr:cNvPr id="1054" name="Button 30" hidden="1">
              <a:extLst>
                <a:ext uri="{63B3BB69-23CF-44E3-9099-C40C66FF867C}">
                  <a14:compatExt spid="_x0000_s1054"/>
                </a:ext>
                <a:ext uri="{FF2B5EF4-FFF2-40B4-BE49-F238E27FC236}">
                  <a16:creationId xmlns:a16="http://schemas.microsoft.com/office/drawing/2014/main" xmlns="" id="{00000000-0008-0000-0000-00001E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Copy over other Setups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19050</xdr:colOff>
          <xdr:row>20</xdr:row>
          <xdr:rowOff>200025</xdr:rowOff>
        </xdr:from>
        <xdr:to>
          <xdr:col>3</xdr:col>
          <xdr:colOff>1152525</xdr:colOff>
          <xdr:row>21</xdr:row>
          <xdr:rowOff>200025</xdr:rowOff>
        </xdr:to>
        <xdr:sp macro="" textlink="">
          <xdr:nvSpPr>
            <xdr:cNvPr id="2055" name="Button 7" hidden="1">
              <a:extLst>
                <a:ext uri="{63B3BB69-23CF-44E3-9099-C40C66FF867C}">
                  <a14:compatExt spid="_x0000_s2055"/>
                </a:ext>
                <a:ext uri="{FF2B5EF4-FFF2-40B4-BE49-F238E27FC236}">
                  <a16:creationId xmlns:a16="http://schemas.microsoft.com/office/drawing/2014/main" xmlns="" id="{00000000-0008-0000-0100-000007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Adjust Skillspeed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20</xdr:row>
          <xdr:rowOff>190500</xdr:rowOff>
        </xdr:from>
        <xdr:to>
          <xdr:col>5</xdr:col>
          <xdr:colOff>0</xdr:colOff>
          <xdr:row>21</xdr:row>
          <xdr:rowOff>190500</xdr:rowOff>
        </xdr:to>
        <xdr:sp macro="" textlink="">
          <xdr:nvSpPr>
            <xdr:cNvPr id="2056" name="Button 8" hidden="1">
              <a:extLst>
                <a:ext uri="{63B3BB69-23CF-44E3-9099-C40C66FF867C}">
                  <a14:compatExt spid="_x0000_s2056"/>
                </a:ext>
                <a:ext uri="{FF2B5EF4-FFF2-40B4-BE49-F238E27FC236}">
                  <a16:creationId xmlns:a16="http://schemas.microsoft.com/office/drawing/2014/main" xmlns="" id="{00000000-0008-0000-0100-000008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Adjust Skillspeed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21</xdr:row>
          <xdr:rowOff>0</xdr:rowOff>
        </xdr:from>
        <xdr:to>
          <xdr:col>5</xdr:col>
          <xdr:colOff>1095375</xdr:colOff>
          <xdr:row>22</xdr:row>
          <xdr:rowOff>9525</xdr:rowOff>
        </xdr:to>
        <xdr:sp macro="" textlink="">
          <xdr:nvSpPr>
            <xdr:cNvPr id="2057" name="Button 9" hidden="1">
              <a:extLst>
                <a:ext uri="{63B3BB69-23CF-44E3-9099-C40C66FF867C}">
                  <a14:compatExt spid="_x0000_s2057"/>
                </a:ext>
                <a:ext uri="{FF2B5EF4-FFF2-40B4-BE49-F238E27FC236}">
                  <a16:creationId xmlns:a16="http://schemas.microsoft.com/office/drawing/2014/main" xmlns="" id="{00000000-0008-0000-0100-000009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Adjust Skillspeed</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962025</xdr:colOff>
          <xdr:row>21</xdr:row>
          <xdr:rowOff>9525</xdr:rowOff>
        </xdr:from>
        <xdr:to>
          <xdr:col>4</xdr:col>
          <xdr:colOff>0</xdr:colOff>
          <xdr:row>22</xdr:row>
          <xdr:rowOff>9525</xdr:rowOff>
        </xdr:to>
        <xdr:sp macro="" textlink="">
          <xdr:nvSpPr>
            <xdr:cNvPr id="4097" name="Button 1" hidden="1">
              <a:extLst>
                <a:ext uri="{63B3BB69-23CF-44E3-9099-C40C66FF867C}">
                  <a14:compatExt spid="_x0000_s4097"/>
                </a:ext>
                <a:ext uri="{FF2B5EF4-FFF2-40B4-BE49-F238E27FC236}">
                  <a16:creationId xmlns:a16="http://schemas.microsoft.com/office/drawing/2014/main" xmlns="" id="{00000000-0008-0000-02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Adjust Skillspeed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21</xdr:row>
          <xdr:rowOff>9525</xdr:rowOff>
        </xdr:from>
        <xdr:to>
          <xdr:col>5</xdr:col>
          <xdr:colOff>19050</xdr:colOff>
          <xdr:row>22</xdr:row>
          <xdr:rowOff>9525</xdr:rowOff>
        </xdr:to>
        <xdr:sp macro="" textlink="">
          <xdr:nvSpPr>
            <xdr:cNvPr id="4098" name="Button 2" hidden="1">
              <a:extLst>
                <a:ext uri="{63B3BB69-23CF-44E3-9099-C40C66FF867C}">
                  <a14:compatExt spid="_x0000_s4098"/>
                </a:ext>
                <a:ext uri="{FF2B5EF4-FFF2-40B4-BE49-F238E27FC236}">
                  <a16:creationId xmlns:a16="http://schemas.microsoft.com/office/drawing/2014/main" xmlns="" id="{00000000-0008-0000-02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Adjust Skillspeed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21</xdr:row>
          <xdr:rowOff>9525</xdr:rowOff>
        </xdr:from>
        <xdr:to>
          <xdr:col>6</xdr:col>
          <xdr:colOff>28575</xdr:colOff>
          <xdr:row>22</xdr:row>
          <xdr:rowOff>9525</xdr:rowOff>
        </xdr:to>
        <xdr:sp macro="" textlink="">
          <xdr:nvSpPr>
            <xdr:cNvPr id="4099" name="Button 3" hidden="1">
              <a:extLst>
                <a:ext uri="{63B3BB69-23CF-44E3-9099-C40C66FF867C}">
                  <a14:compatExt spid="_x0000_s4099"/>
                </a:ext>
                <a:ext uri="{FF2B5EF4-FFF2-40B4-BE49-F238E27FC236}">
                  <a16:creationId xmlns:a16="http://schemas.microsoft.com/office/drawing/2014/main" xmlns="" id="{00000000-0008-0000-0200-00000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Adjust Skillspeed</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8</xdr:col>
      <xdr:colOff>166687</xdr:colOff>
      <xdr:row>1</xdr:row>
      <xdr:rowOff>182165</xdr:rowOff>
    </xdr:from>
    <xdr:to>
      <xdr:col>16</xdr:col>
      <xdr:colOff>750093</xdr:colOff>
      <xdr:row>23</xdr:row>
      <xdr:rowOff>71437</xdr:rowOff>
    </xdr:to>
    <xdr:graphicFrame macro="">
      <xdr:nvGraphicFramePr>
        <xdr:cNvPr id="3" name="Diagramm 2">
          <a:extLst>
            <a:ext uri="{FF2B5EF4-FFF2-40B4-BE49-F238E27FC236}">
              <a16:creationId xmlns:a16="http://schemas.microsoft.com/office/drawing/2014/main" xmlns=""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vmlDrawing" Target="../drawings/vmlDrawing1.vml"/><Relationship Id="rId13" Type="http://schemas.openxmlformats.org/officeDocument/2006/relationships/ctrlProp" Target="../ctrlProps/ctrlProp5.xml"/><Relationship Id="rId3" Type="http://schemas.openxmlformats.org/officeDocument/2006/relationships/hyperlink" Target="https://esoitem.uesp.net/viewSkills.php" TargetMode="External"/><Relationship Id="rId7" Type="http://schemas.openxmlformats.org/officeDocument/2006/relationships/drawing" Target="../drawings/drawing1.xml"/><Relationship Id="rId12" Type="http://schemas.openxmlformats.org/officeDocument/2006/relationships/ctrlProp" Target="../ctrlProps/ctrlProp4.xml"/><Relationship Id="rId2" Type="http://schemas.openxmlformats.org/officeDocument/2006/relationships/hyperlink" Target="https://esoitem.uesp.net/viewSkills.php" TargetMode="External"/><Relationship Id="rId1" Type="http://schemas.openxmlformats.org/officeDocument/2006/relationships/hyperlink" Target="https://esoitem.uesp.net/viewSkills.php" TargetMode="External"/><Relationship Id="rId6" Type="http://schemas.openxmlformats.org/officeDocument/2006/relationships/hyperlink" Target="https://esoitem.uesp.net/viewSkills.php" TargetMode="External"/><Relationship Id="rId11" Type="http://schemas.openxmlformats.org/officeDocument/2006/relationships/ctrlProp" Target="../ctrlProps/ctrlProp3.xml"/><Relationship Id="rId5" Type="http://schemas.openxmlformats.org/officeDocument/2006/relationships/hyperlink" Target="https://esoitem.uesp.net/viewSkills.php" TargetMode="External"/><Relationship Id="rId15" Type="http://schemas.openxmlformats.org/officeDocument/2006/relationships/comments" Target="../comments1.xml"/><Relationship Id="rId10" Type="http://schemas.openxmlformats.org/officeDocument/2006/relationships/ctrlProp" Target="../ctrlProps/ctrlProp2.xml"/><Relationship Id="rId4" Type="http://schemas.openxmlformats.org/officeDocument/2006/relationships/hyperlink" Target="https://esoitem.uesp.net/viewSkills.php" TargetMode="External"/><Relationship Id="rId9" Type="http://schemas.openxmlformats.org/officeDocument/2006/relationships/ctrlProp" Target="../ctrlProps/ctrlProp1.xml"/><Relationship Id="rId14"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3.vml"/><Relationship Id="rId1" Type="http://schemas.openxmlformats.org/officeDocument/2006/relationships/drawing" Target="../drawings/drawing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tabColor theme="3"/>
  </sheetPr>
  <dimension ref="A1:Y57"/>
  <sheetViews>
    <sheetView zoomScale="118" zoomScaleNormal="118" workbookViewId="0">
      <selection activeCell="B13" sqref="B13"/>
    </sheetView>
  </sheetViews>
  <sheetFormatPr baseColWidth="10" defaultColWidth="10.7109375" defaultRowHeight="15" x14ac:dyDescent="0.25"/>
  <cols>
    <col min="1" max="1" width="30.42578125" bestFit="1" customWidth="1"/>
    <col min="2" max="2" width="34.42578125" bestFit="1" customWidth="1"/>
    <col min="3" max="3" width="12.7109375" bestFit="1" customWidth="1"/>
    <col min="4" max="4" width="19.85546875" bestFit="1" customWidth="1"/>
    <col min="6" max="6" width="12.85546875" bestFit="1" customWidth="1"/>
    <col min="8" max="8" width="30.42578125" bestFit="1" customWidth="1"/>
    <col min="9" max="9" width="34.42578125" bestFit="1" customWidth="1"/>
    <col min="10" max="10" width="15" bestFit="1" customWidth="1"/>
    <col min="11" max="11" width="12.85546875" customWidth="1"/>
    <col min="12" max="12" width="19.85546875" customWidth="1"/>
    <col min="13" max="13" width="13.85546875" bestFit="1" customWidth="1"/>
    <col min="15" max="15" width="31.42578125" bestFit="1" customWidth="1"/>
    <col min="16" max="16" width="34.42578125" bestFit="1" customWidth="1"/>
    <col min="17" max="17" width="12.7109375" bestFit="1" customWidth="1"/>
    <col min="18" max="18" width="19.85546875" bestFit="1" customWidth="1"/>
    <col min="20" max="20" width="13.85546875" customWidth="1"/>
    <col min="21" max="21" width="10.7109375" style="48"/>
    <col min="24" max="24" width="31" bestFit="1" customWidth="1"/>
  </cols>
  <sheetData>
    <row r="1" spans="1:25" ht="18.75" x14ac:dyDescent="0.3">
      <c r="A1" s="5" t="s">
        <v>69</v>
      </c>
      <c r="B1" s="5" t="str">
        <f>'Magicka Sheet'!D2</f>
        <v>Templar</v>
      </c>
      <c r="C1" s="4"/>
      <c r="D1" s="2"/>
      <c r="E1" s="2"/>
      <c r="F1" s="4"/>
      <c r="G1" s="2"/>
      <c r="H1" s="5" t="s">
        <v>70</v>
      </c>
      <c r="I1" s="5" t="str">
        <f>'Magicka Sheet'!E2</f>
        <v>Templar</v>
      </c>
      <c r="J1" s="2"/>
      <c r="K1" s="2"/>
      <c r="L1" s="2"/>
      <c r="M1" s="4"/>
      <c r="N1" s="2"/>
      <c r="O1" s="5" t="s">
        <v>71</v>
      </c>
      <c r="P1" s="5" t="str">
        <f>'Magicka Sheet'!F2</f>
        <v>Templar</v>
      </c>
      <c r="Q1" s="2"/>
      <c r="R1" s="2"/>
      <c r="S1" s="2"/>
      <c r="T1" s="4"/>
      <c r="U1" s="47"/>
    </row>
    <row r="2" spans="1:25" ht="21" x14ac:dyDescent="0.35">
      <c r="A2" s="5" t="s">
        <v>62</v>
      </c>
      <c r="B2" s="53">
        <v>10</v>
      </c>
      <c r="C2" s="2"/>
      <c r="D2" s="2"/>
      <c r="E2" s="2"/>
      <c r="F2" s="4"/>
      <c r="G2" s="2"/>
      <c r="H2" s="5" t="s">
        <v>62</v>
      </c>
      <c r="I2" s="53">
        <v>10</v>
      </c>
      <c r="J2" s="2"/>
      <c r="K2" s="2"/>
      <c r="L2" s="2"/>
      <c r="M2" s="4"/>
      <c r="N2" s="2"/>
      <c r="O2" s="5" t="s">
        <v>62</v>
      </c>
      <c r="P2" s="53">
        <v>10</v>
      </c>
      <c r="Q2" s="2"/>
      <c r="R2" s="2"/>
      <c r="S2" s="2"/>
      <c r="T2" s="4"/>
      <c r="U2" s="47"/>
    </row>
    <row r="3" spans="1:25" x14ac:dyDescent="0.25">
      <c r="A3" s="2"/>
      <c r="B3" s="4" t="s">
        <v>60</v>
      </c>
      <c r="C3" s="4" t="s">
        <v>58</v>
      </c>
      <c r="D3" s="2" t="s">
        <v>323</v>
      </c>
      <c r="E3" s="4" t="s">
        <v>59</v>
      </c>
      <c r="F3" s="4" t="s">
        <v>324</v>
      </c>
      <c r="G3" s="2"/>
      <c r="H3" s="2"/>
      <c r="I3" s="4" t="s">
        <v>60</v>
      </c>
      <c r="J3" s="4" t="s">
        <v>58</v>
      </c>
      <c r="K3" s="2" t="s">
        <v>323</v>
      </c>
      <c r="L3" s="4" t="s">
        <v>59</v>
      </c>
      <c r="M3" s="4" t="s">
        <v>324</v>
      </c>
      <c r="N3" s="2"/>
      <c r="O3" s="2"/>
      <c r="P3" s="4" t="s">
        <v>60</v>
      </c>
      <c r="Q3" s="4" t="s">
        <v>58</v>
      </c>
      <c r="R3" s="2" t="s">
        <v>323</v>
      </c>
      <c r="S3" s="4" t="s">
        <v>59</v>
      </c>
      <c r="T3" s="4" t="s">
        <v>324</v>
      </c>
      <c r="U3" s="47"/>
    </row>
    <row r="4" spans="1:25" x14ac:dyDescent="0.25">
      <c r="A4" s="2" t="s">
        <v>44</v>
      </c>
      <c r="B4" s="11" t="s">
        <v>128</v>
      </c>
      <c r="C4" s="11">
        <v>5</v>
      </c>
      <c r="D4" s="14" t="str">
        <f>VLOOKUP(B4,'Skill Data (Do Not Modify)'!$A$2:$E$149,5,FALSE)</f>
        <v>Magicka</v>
      </c>
      <c r="E4" s="2">
        <f>IF(D4="Yes",0,IFERROR(VLOOKUP(B4,'Skill Data (Do Not Modify)'!$A$2:$E$149,2,FALSE),"N/A"))</f>
        <v>2700</v>
      </c>
      <c r="F4" s="2">
        <f>E4*C4</f>
        <v>13500</v>
      </c>
      <c r="G4" s="2"/>
      <c r="H4" s="2" t="s">
        <v>44</v>
      </c>
      <c r="I4" s="11" t="s">
        <v>128</v>
      </c>
      <c r="J4" s="11">
        <v>5</v>
      </c>
      <c r="K4" s="14" t="str">
        <f>VLOOKUP(I4,'Skill Data (Do Not Modify)'!$A$2:$E$149,5,FALSE)</f>
        <v>Magicka</v>
      </c>
      <c r="L4" s="2">
        <f>IF(K4="Yes",0,IFERROR(VLOOKUP(I4,'Skill Data (Do Not Modify)'!$A$2:$E$149,2,FALSE),"N/A"))</f>
        <v>2700</v>
      </c>
      <c r="M4" s="2">
        <f>L4*J4</f>
        <v>13500</v>
      </c>
      <c r="N4" s="2"/>
      <c r="O4" s="2" t="s">
        <v>44</v>
      </c>
      <c r="P4" s="55" t="s">
        <v>128</v>
      </c>
      <c r="Q4" s="55">
        <v>5</v>
      </c>
      <c r="R4" s="14" t="str">
        <f>VLOOKUP(P4,'Skill Data (Do Not Modify)'!$A$2:$E$149,5,FALSE)</f>
        <v>Magicka</v>
      </c>
      <c r="S4" s="2">
        <f>IF(R4="Yes",0,IFERROR(VLOOKUP(P4,'Skill Data (Do Not Modify)'!$A$2:$E$149,2,FALSE),"N/A"))</f>
        <v>2700</v>
      </c>
      <c r="T4" s="2">
        <f>S4*Q4</f>
        <v>13500</v>
      </c>
      <c r="U4" s="47"/>
    </row>
    <row r="5" spans="1:25" x14ac:dyDescent="0.25">
      <c r="A5" s="2" t="s">
        <v>45</v>
      </c>
      <c r="B5" s="11" t="s">
        <v>259</v>
      </c>
      <c r="C5" s="11">
        <v>1</v>
      </c>
      <c r="D5" s="14" t="str">
        <f>VLOOKUP(B5,'Skill Data (Do Not Modify)'!$A$2:$E$149,5,FALSE)</f>
        <v>Magicka</v>
      </c>
      <c r="E5" s="2">
        <f>IF(D5="Yes",0,IFERROR(VLOOKUP(B5,'Skill Data (Do Not Modify)'!$A$2:$E$149,2,FALSE),"N/A"))</f>
        <v>3511</v>
      </c>
      <c r="F5" s="2">
        <f t="shared" ref="F5:F23" si="0">E5*C5</f>
        <v>3511</v>
      </c>
      <c r="G5" s="2"/>
      <c r="H5" s="2" t="s">
        <v>45</v>
      </c>
      <c r="I5" s="11" t="s">
        <v>259</v>
      </c>
      <c r="J5" s="11">
        <v>1</v>
      </c>
      <c r="K5" s="14" t="str">
        <f>VLOOKUP(I5,'Skill Data (Do Not Modify)'!$A$2:$E$149,5,FALSE)</f>
        <v>Magicka</v>
      </c>
      <c r="L5" s="2">
        <f>IF(K5="Yes",0,IFERROR(VLOOKUP(I5,'Skill Data (Do Not Modify)'!$A$2:$E$149,2,FALSE),"N/A"))</f>
        <v>3511</v>
      </c>
      <c r="M5" s="2">
        <f t="shared" ref="M5:M23" si="1">L5*J5</f>
        <v>3511</v>
      </c>
      <c r="N5" s="2"/>
      <c r="O5" s="2" t="s">
        <v>45</v>
      </c>
      <c r="P5" s="55" t="s">
        <v>259</v>
      </c>
      <c r="Q5" s="55">
        <v>1</v>
      </c>
      <c r="R5" s="14" t="str">
        <f>VLOOKUP(P5,'Skill Data (Do Not Modify)'!$A$2:$E$149,5,FALSE)</f>
        <v>Magicka</v>
      </c>
      <c r="S5" s="2">
        <f>IF(R5="Yes",0,IFERROR(VLOOKUP(P5,'Skill Data (Do Not Modify)'!$A$2:$E$149,2,FALSE),"N/A"))</f>
        <v>3511</v>
      </c>
      <c r="T5" s="2">
        <f t="shared" ref="T5:T23" si="2">S5*Q5</f>
        <v>3511</v>
      </c>
      <c r="U5" s="47"/>
    </row>
    <row r="6" spans="1:25" x14ac:dyDescent="0.25">
      <c r="A6" s="2" t="s">
        <v>46</v>
      </c>
      <c r="B6" s="11" t="s">
        <v>129</v>
      </c>
      <c r="C6" s="11">
        <v>1</v>
      </c>
      <c r="D6" s="14" t="str">
        <f>VLOOKUP(B6,'Skill Data (Do Not Modify)'!$A$2:$E$149,5,FALSE)</f>
        <v>Magicka</v>
      </c>
      <c r="E6" s="2">
        <f>IF(D6="Yes",0,IFERROR(VLOOKUP(B6,'Skill Data (Do Not Modify)'!$A$2:$E$149,2,FALSE),"N/A"))</f>
        <v>3510</v>
      </c>
      <c r="F6" s="2">
        <f t="shared" si="0"/>
        <v>3510</v>
      </c>
      <c r="G6" s="2"/>
      <c r="H6" s="2" t="s">
        <v>46</v>
      </c>
      <c r="I6" s="11" t="s">
        <v>129</v>
      </c>
      <c r="J6" s="11">
        <v>1</v>
      </c>
      <c r="K6" s="14" t="str">
        <f>VLOOKUP(I6,'Skill Data (Do Not Modify)'!$A$2:$E$149,5,FALSE)</f>
        <v>Magicka</v>
      </c>
      <c r="L6" s="2">
        <f>IF(K6="Yes",0,IFERROR(VLOOKUP(I6,'Skill Data (Do Not Modify)'!$A$2:$E$149,2,FALSE),"N/A"))</f>
        <v>3510</v>
      </c>
      <c r="M6" s="2">
        <f t="shared" si="1"/>
        <v>3510</v>
      </c>
      <c r="N6" s="2"/>
      <c r="O6" s="2" t="s">
        <v>46</v>
      </c>
      <c r="P6" s="55" t="s">
        <v>129</v>
      </c>
      <c r="Q6" s="55">
        <v>1</v>
      </c>
      <c r="R6" s="14" t="str">
        <f>VLOOKUP(P6,'Skill Data (Do Not Modify)'!$A$2:$E$149,5,FALSE)</f>
        <v>Magicka</v>
      </c>
      <c r="S6" s="2">
        <f>IF(R6="Yes",0,IFERROR(VLOOKUP(P6,'Skill Data (Do Not Modify)'!$A$2:$E$149,2,FALSE),"N/A"))</f>
        <v>3510</v>
      </c>
      <c r="T6" s="2">
        <f t="shared" si="2"/>
        <v>3510</v>
      </c>
      <c r="U6" s="47"/>
    </row>
    <row r="7" spans="1:25" x14ac:dyDescent="0.25">
      <c r="A7" s="2" t="s">
        <v>47</v>
      </c>
      <c r="B7" s="11" t="s">
        <v>266</v>
      </c>
      <c r="C7" s="11">
        <v>1</v>
      </c>
      <c r="D7" s="14" t="str">
        <f>VLOOKUP(B7,'Skill Data (Do Not Modify)'!$A$2:$E$149,5,FALSE)</f>
        <v>Magicka</v>
      </c>
      <c r="E7" s="2">
        <f>IF(D7="Yes",0,IFERROR(VLOOKUP(B7,'Skill Data (Do Not Modify)'!$A$2:$E$149,2,FALSE),"N/A"))</f>
        <v>1890</v>
      </c>
      <c r="F7" s="2">
        <f t="shared" si="0"/>
        <v>1890</v>
      </c>
      <c r="G7" s="2"/>
      <c r="H7" s="2" t="s">
        <v>47</v>
      </c>
      <c r="I7" s="11" t="s">
        <v>266</v>
      </c>
      <c r="J7" s="11">
        <v>1</v>
      </c>
      <c r="K7" s="14" t="str">
        <f>VLOOKUP(I7,'Skill Data (Do Not Modify)'!$A$2:$E$149,5,FALSE)</f>
        <v>Magicka</v>
      </c>
      <c r="L7" s="2">
        <f>IF(K7="Yes",0,IFERROR(VLOOKUP(I7,'Skill Data (Do Not Modify)'!$A$2:$E$149,2,FALSE),"N/A"))</f>
        <v>1890</v>
      </c>
      <c r="M7" s="2">
        <f t="shared" si="1"/>
        <v>1890</v>
      </c>
      <c r="N7" s="2"/>
      <c r="O7" s="2" t="s">
        <v>47</v>
      </c>
      <c r="P7" s="55" t="s">
        <v>266</v>
      </c>
      <c r="Q7" s="55">
        <v>1</v>
      </c>
      <c r="R7" s="14" t="str">
        <f>VLOOKUP(P7,'Skill Data (Do Not Modify)'!$A$2:$E$149,5,FALSE)</f>
        <v>Magicka</v>
      </c>
      <c r="S7" s="2">
        <f>IF(R7="Yes",0,IFERROR(VLOOKUP(P7,'Skill Data (Do Not Modify)'!$A$2:$E$149,2,FALSE),"N/A"))</f>
        <v>1890</v>
      </c>
      <c r="T7" s="2">
        <f t="shared" si="2"/>
        <v>1890</v>
      </c>
      <c r="U7" s="47"/>
      <c r="X7" t="s">
        <v>155</v>
      </c>
      <c r="Y7">
        <v>1</v>
      </c>
    </row>
    <row r="8" spans="1:25" x14ac:dyDescent="0.25">
      <c r="A8" s="2" t="s">
        <v>48</v>
      </c>
      <c r="B8" s="11" t="s">
        <v>122</v>
      </c>
      <c r="C8" s="11">
        <v>1</v>
      </c>
      <c r="D8" s="14" t="str">
        <f>VLOOKUP(B8,'Skill Data (Do Not Modify)'!$A$2:$E$149,5,FALSE)</f>
        <v>Magicka</v>
      </c>
      <c r="E8" s="2">
        <f>IF(D8="Yes",0,IFERROR(VLOOKUP(B8,'Skill Data (Do Not Modify)'!$A$2:$E$149,2,FALSE),"N/A"))</f>
        <v>0</v>
      </c>
      <c r="F8" s="2">
        <f t="shared" si="0"/>
        <v>0</v>
      </c>
      <c r="G8" s="2"/>
      <c r="H8" s="2" t="s">
        <v>48</v>
      </c>
      <c r="I8" s="11" t="s">
        <v>122</v>
      </c>
      <c r="J8" s="11">
        <v>0.5</v>
      </c>
      <c r="K8" s="14" t="str">
        <f>VLOOKUP(I8,'Skill Data (Do Not Modify)'!$A$2:$E$149,5,FALSE)</f>
        <v>Magicka</v>
      </c>
      <c r="L8" s="2">
        <f>IF(K8="Yes",0,IFERROR(VLOOKUP(I8,'Skill Data (Do Not Modify)'!$A$2:$E$149,2,FALSE),"N/A"))</f>
        <v>0</v>
      </c>
      <c r="M8" s="2">
        <f t="shared" si="1"/>
        <v>0</v>
      </c>
      <c r="N8" s="2"/>
      <c r="O8" s="2" t="s">
        <v>48</v>
      </c>
      <c r="P8" s="55" t="s">
        <v>122</v>
      </c>
      <c r="Q8" s="55">
        <v>0.5</v>
      </c>
      <c r="R8" s="14" t="str">
        <f>VLOOKUP(P8,'Skill Data (Do Not Modify)'!$A$2:$E$149,5,FALSE)</f>
        <v>Magicka</v>
      </c>
      <c r="S8" s="2">
        <f>IF(R8="Yes",0,IFERROR(VLOOKUP(P8,'Skill Data (Do Not Modify)'!$A$2:$E$149,2,FALSE),"N/A"))</f>
        <v>0</v>
      </c>
      <c r="T8" s="2">
        <f t="shared" si="2"/>
        <v>0</v>
      </c>
      <c r="U8" s="47"/>
      <c r="X8" t="s">
        <v>157</v>
      </c>
      <c r="Y8">
        <v>1</v>
      </c>
    </row>
    <row r="9" spans="1:25" x14ac:dyDescent="0.25">
      <c r="A9" s="2" t="s">
        <v>49</v>
      </c>
      <c r="B9" s="11" t="s">
        <v>267</v>
      </c>
      <c r="C9" s="11">
        <v>0.5</v>
      </c>
      <c r="D9" s="14" t="str">
        <f>VLOOKUP(B9,'Skill Data (Do Not Modify)'!$A$2:$E$149,5,FALSE)</f>
        <v>Magicka</v>
      </c>
      <c r="E9" s="2">
        <f>IF(D9="Yes",0,IFERROR(VLOOKUP(B9,'Skill Data (Do Not Modify)'!$A$2:$E$149,2,FALSE),"N/A"))</f>
        <v>0</v>
      </c>
      <c r="F9" s="2">
        <f t="shared" si="0"/>
        <v>0</v>
      </c>
      <c r="G9" s="2"/>
      <c r="H9" s="2" t="s">
        <v>49</v>
      </c>
      <c r="I9" s="11" t="s">
        <v>267</v>
      </c>
      <c r="J9" s="11">
        <v>0.5</v>
      </c>
      <c r="K9" s="14" t="str">
        <f>VLOOKUP(I9,'Skill Data (Do Not Modify)'!$A$2:$E$149,5,FALSE)</f>
        <v>Magicka</v>
      </c>
      <c r="L9" s="2">
        <f>IF(K9="Yes",0,IFERROR(VLOOKUP(I9,'Skill Data (Do Not Modify)'!$A$2:$E$149,2,FALSE),"N/A"))</f>
        <v>0</v>
      </c>
      <c r="M9" s="2">
        <f t="shared" si="1"/>
        <v>0</v>
      </c>
      <c r="N9" s="2"/>
      <c r="O9" s="2" t="s">
        <v>49</v>
      </c>
      <c r="P9" s="55" t="s">
        <v>267</v>
      </c>
      <c r="Q9" s="55">
        <v>0.5</v>
      </c>
      <c r="R9" s="14" t="str">
        <f>VLOOKUP(P9,'Skill Data (Do Not Modify)'!$A$2:$E$149,5,FALSE)</f>
        <v>Magicka</v>
      </c>
      <c r="S9" s="2">
        <f>IF(R9="Yes",0,IFERROR(VLOOKUP(P9,'Skill Data (Do Not Modify)'!$A$2:$E$149,2,FALSE),"N/A"))</f>
        <v>0</v>
      </c>
      <c r="T9" s="2">
        <f t="shared" si="2"/>
        <v>0</v>
      </c>
      <c r="U9" s="47"/>
      <c r="X9" t="s">
        <v>172</v>
      </c>
      <c r="Y9">
        <v>0.5</v>
      </c>
    </row>
    <row r="10" spans="1:25" x14ac:dyDescent="0.25">
      <c r="A10" s="2" t="s">
        <v>50</v>
      </c>
      <c r="B10" s="11" t="s">
        <v>271</v>
      </c>
      <c r="C10" s="11">
        <v>0.5</v>
      </c>
      <c r="D10" s="14" t="str">
        <f>VLOOKUP(B10,'Skill Data (Do Not Modify)'!$A$2:$E$149,5,FALSE)</f>
        <v>Magicka</v>
      </c>
      <c r="E10" s="2">
        <f>IF(D10="Yes",0,IFERROR(VLOOKUP(B10,'Skill Data (Do Not Modify)'!$A$2:$E$149,2,FALSE),"N/A"))</f>
        <v>2970</v>
      </c>
      <c r="F10" s="2">
        <f t="shared" si="0"/>
        <v>1485</v>
      </c>
      <c r="G10" s="2"/>
      <c r="H10" s="2" t="s">
        <v>50</v>
      </c>
      <c r="I10" s="11" t="s">
        <v>271</v>
      </c>
      <c r="J10" s="11">
        <v>0.5</v>
      </c>
      <c r="K10" s="14" t="str">
        <f>VLOOKUP(I10,'Skill Data (Do Not Modify)'!$A$2:$E$149,5,FALSE)</f>
        <v>Magicka</v>
      </c>
      <c r="L10" s="2">
        <f>IF(K10="Yes",0,IFERROR(VLOOKUP(I10,'Skill Data (Do Not Modify)'!$A$2:$E$149,2,FALSE),"N/A"))</f>
        <v>2970</v>
      </c>
      <c r="M10" s="2">
        <f t="shared" si="1"/>
        <v>1485</v>
      </c>
      <c r="N10" s="2"/>
      <c r="O10" s="2" t="s">
        <v>50</v>
      </c>
      <c r="P10" s="55" t="s">
        <v>271</v>
      </c>
      <c r="Q10" s="55">
        <v>0.5</v>
      </c>
      <c r="R10" s="14" t="str">
        <f>VLOOKUP(P10,'Skill Data (Do Not Modify)'!$A$2:$E$149,5,FALSE)</f>
        <v>Magicka</v>
      </c>
      <c r="S10" s="2">
        <f>IF(R10="Yes",0,IFERROR(VLOOKUP(P10,'Skill Data (Do Not Modify)'!$A$2:$E$149,2,FALSE),"N/A"))</f>
        <v>2970</v>
      </c>
      <c r="T10" s="2">
        <f t="shared" si="2"/>
        <v>1485</v>
      </c>
      <c r="U10" s="47"/>
      <c r="X10" t="s">
        <v>168</v>
      </c>
      <c r="Y10">
        <v>0.25</v>
      </c>
    </row>
    <row r="11" spans="1:25" x14ac:dyDescent="0.25">
      <c r="A11" s="2" t="s">
        <v>51</v>
      </c>
      <c r="B11" s="11" t="s">
        <v>304</v>
      </c>
      <c r="C11" s="11"/>
      <c r="D11" s="14" t="str">
        <f>VLOOKUP(B11,'Skill Data (Do Not Modify)'!$A$2:$E$149,5,FALSE)</f>
        <v>None</v>
      </c>
      <c r="E11" s="2">
        <f>IF(D11="Yes",0,IFERROR(VLOOKUP(B11,'Skill Data (Do Not Modify)'!$A$2:$E$149,2,FALSE),"N/A"))</f>
        <v>0</v>
      </c>
      <c r="F11" s="2">
        <f t="shared" si="0"/>
        <v>0</v>
      </c>
      <c r="G11" s="2"/>
      <c r="H11" s="2" t="s">
        <v>51</v>
      </c>
      <c r="I11" s="11" t="s">
        <v>304</v>
      </c>
      <c r="J11" s="11"/>
      <c r="K11" s="14" t="str">
        <f>VLOOKUP(I11,'Skill Data (Do Not Modify)'!$A$2:$E$149,5,FALSE)</f>
        <v>None</v>
      </c>
      <c r="L11" s="2">
        <f>IF(K11="Yes",0,IFERROR(VLOOKUP(I11,'Skill Data (Do Not Modify)'!$A$2:$E$149,2,FALSE),"N/A"))</f>
        <v>0</v>
      </c>
      <c r="M11" s="2">
        <f t="shared" si="1"/>
        <v>0</v>
      </c>
      <c r="N11" s="2"/>
      <c r="O11" s="2" t="s">
        <v>51</v>
      </c>
      <c r="P11" s="11" t="s">
        <v>304</v>
      </c>
      <c r="Q11" s="11"/>
      <c r="R11" s="14" t="str">
        <f>VLOOKUP(P11,'Skill Data (Do Not Modify)'!$A$2:$E$149,5,FALSE)</f>
        <v>None</v>
      </c>
      <c r="S11" s="2">
        <f>IF(R11="Yes",0,IFERROR(VLOOKUP(P11,'Skill Data (Do Not Modify)'!$A$2:$E$149,2,FALSE),"N/A"))</f>
        <v>0</v>
      </c>
      <c r="T11" s="2">
        <f t="shared" si="2"/>
        <v>0</v>
      </c>
      <c r="U11" s="47"/>
      <c r="X11" t="s">
        <v>129</v>
      </c>
      <c r="Y11">
        <v>1</v>
      </c>
    </row>
    <row r="12" spans="1:25" x14ac:dyDescent="0.25">
      <c r="A12" s="2" t="s">
        <v>52</v>
      </c>
      <c r="B12" s="11" t="s">
        <v>304</v>
      </c>
      <c r="C12" s="11"/>
      <c r="D12" s="14" t="str">
        <f>VLOOKUP(B12,'Skill Data (Do Not Modify)'!$A$2:$E$149,5,FALSE)</f>
        <v>None</v>
      </c>
      <c r="E12" s="2">
        <f>IF(D12="Yes",0,IFERROR(VLOOKUP(B12,'Skill Data (Do Not Modify)'!$A$2:$E$149,2,FALSE),"N/A"))</f>
        <v>0</v>
      </c>
      <c r="F12" s="2">
        <f t="shared" si="0"/>
        <v>0</v>
      </c>
      <c r="G12" s="2"/>
      <c r="H12" s="2" t="s">
        <v>52</v>
      </c>
      <c r="I12" s="11" t="s">
        <v>304</v>
      </c>
      <c r="J12" s="11"/>
      <c r="K12" s="14" t="str">
        <f>VLOOKUP(I12,'Skill Data (Do Not Modify)'!$A$2:$E$149,5,FALSE)</f>
        <v>None</v>
      </c>
      <c r="L12" s="2">
        <f>IF(K12="Yes",0,IFERROR(VLOOKUP(I12,'Skill Data (Do Not Modify)'!$A$2:$E$149,2,FALSE),"N/A"))</f>
        <v>0</v>
      </c>
      <c r="M12" s="2">
        <f t="shared" si="1"/>
        <v>0</v>
      </c>
      <c r="N12" s="2"/>
      <c r="O12" s="2" t="s">
        <v>52</v>
      </c>
      <c r="P12" s="11" t="s">
        <v>304</v>
      </c>
      <c r="Q12" s="11"/>
      <c r="R12" s="14" t="str">
        <f>VLOOKUP(P12,'Skill Data (Do Not Modify)'!$A$2:$E$149,5,FALSE)</f>
        <v>None</v>
      </c>
      <c r="S12" s="2">
        <f>IF(R12="Yes",0,IFERROR(VLOOKUP(P12,'Skill Data (Do Not Modify)'!$A$2:$E$149,2,FALSE),"N/A"))</f>
        <v>0</v>
      </c>
      <c r="T12" s="2">
        <f t="shared" si="2"/>
        <v>0</v>
      </c>
      <c r="U12" s="47"/>
      <c r="X12" t="s">
        <v>305</v>
      </c>
      <c r="Y12">
        <v>2</v>
      </c>
    </row>
    <row r="13" spans="1:25" x14ac:dyDescent="0.25">
      <c r="A13" s="2" t="s">
        <v>53</v>
      </c>
      <c r="B13" s="11" t="s">
        <v>304</v>
      </c>
      <c r="C13" s="11"/>
      <c r="D13" s="14" t="str">
        <f>VLOOKUP(B13,'Skill Data (Do Not Modify)'!$A$2:$E$149,5,FALSE)</f>
        <v>None</v>
      </c>
      <c r="E13" s="2">
        <f>IF(D13="Yes",0,IFERROR(VLOOKUP(B13,'Skill Data (Do Not Modify)'!$A$2:$E$149,2,FALSE),"N/A"))</f>
        <v>0</v>
      </c>
      <c r="F13" s="2">
        <f t="shared" si="0"/>
        <v>0</v>
      </c>
      <c r="G13" s="2"/>
      <c r="H13" s="2" t="s">
        <v>53</v>
      </c>
      <c r="I13" s="11" t="s">
        <v>304</v>
      </c>
      <c r="J13" s="11"/>
      <c r="K13" s="14" t="str">
        <f>VLOOKUP(I13,'Skill Data (Do Not Modify)'!$A$2:$E$149,5,FALSE)</f>
        <v>None</v>
      </c>
      <c r="L13" s="2">
        <f>IF(K13="Yes",0,IFERROR(VLOOKUP(I13,'Skill Data (Do Not Modify)'!$A$2:$E$149,2,FALSE),"N/A"))</f>
        <v>0</v>
      </c>
      <c r="M13" s="2">
        <f t="shared" si="1"/>
        <v>0</v>
      </c>
      <c r="N13" s="2"/>
      <c r="O13" s="2" t="s">
        <v>53</v>
      </c>
      <c r="P13" s="11" t="s">
        <v>304</v>
      </c>
      <c r="Q13" s="11"/>
      <c r="R13" s="14" t="str">
        <f>VLOOKUP(P13,'Skill Data (Do Not Modify)'!$A$2:$E$149,5,FALSE)</f>
        <v>None</v>
      </c>
      <c r="S13" s="2">
        <f>IF(R13="Yes",0,IFERROR(VLOOKUP(P13,'Skill Data (Do Not Modify)'!$A$2:$E$149,2,FALSE),"N/A"))</f>
        <v>0</v>
      </c>
      <c r="T13" s="2">
        <f t="shared" si="2"/>
        <v>0</v>
      </c>
      <c r="U13" s="47"/>
      <c r="X13" t="s">
        <v>78</v>
      </c>
      <c r="Y13">
        <v>1</v>
      </c>
    </row>
    <row r="14" spans="1:25" x14ac:dyDescent="0.25">
      <c r="A14" s="2" t="s">
        <v>54</v>
      </c>
      <c r="B14" s="11" t="s">
        <v>304</v>
      </c>
      <c r="C14" s="11"/>
      <c r="D14" s="14" t="str">
        <f>VLOOKUP(B14,'Skill Data (Do Not Modify)'!$A$2:$E$149,5,FALSE)</f>
        <v>None</v>
      </c>
      <c r="E14" s="2">
        <f>IF(D14="Yes",0,IFERROR(VLOOKUP(B14,'Skill Data (Do Not Modify)'!$A$2:$E$149,2,FALSE),"N/A"))</f>
        <v>0</v>
      </c>
      <c r="F14" s="2">
        <f t="shared" si="0"/>
        <v>0</v>
      </c>
      <c r="G14" s="2"/>
      <c r="H14" s="2" t="s">
        <v>54</v>
      </c>
      <c r="I14" s="11" t="s">
        <v>304</v>
      </c>
      <c r="J14" s="11"/>
      <c r="K14" s="14" t="str">
        <f>VLOOKUP(I14,'Skill Data (Do Not Modify)'!$A$2:$E$149,5,FALSE)</f>
        <v>None</v>
      </c>
      <c r="L14" s="2">
        <f>IF(K14="Yes",0,IFERROR(VLOOKUP(I14,'Skill Data (Do Not Modify)'!$A$2:$E$149,2,FALSE),"N/A"))</f>
        <v>0</v>
      </c>
      <c r="M14" s="2">
        <f t="shared" si="1"/>
        <v>0</v>
      </c>
      <c r="N14" s="2"/>
      <c r="O14" s="2" t="s">
        <v>54</v>
      </c>
      <c r="P14" s="11" t="s">
        <v>304</v>
      </c>
      <c r="Q14" s="11"/>
      <c r="R14" s="14" t="str">
        <f>VLOOKUP(P14,'Skill Data (Do Not Modify)'!$A$2:$E$149,5,FALSE)</f>
        <v>None</v>
      </c>
      <c r="S14" s="2">
        <f>IF(R14="Yes",0,IFERROR(VLOOKUP(P14,'Skill Data (Do Not Modify)'!$A$2:$E$149,2,FALSE),"N/A"))</f>
        <v>0</v>
      </c>
      <c r="T14" s="2">
        <f t="shared" si="2"/>
        <v>0</v>
      </c>
      <c r="U14" s="47"/>
      <c r="X14" t="s">
        <v>160</v>
      </c>
      <c r="Y14">
        <v>0.5</v>
      </c>
    </row>
    <row r="15" spans="1:25" x14ac:dyDescent="0.25">
      <c r="A15" s="2" t="s">
        <v>55</v>
      </c>
      <c r="B15" s="11" t="s">
        <v>304</v>
      </c>
      <c r="C15" s="11"/>
      <c r="D15" s="14" t="str">
        <f>VLOOKUP(B15,'Skill Data (Do Not Modify)'!$A$2:$E$149,5,FALSE)</f>
        <v>None</v>
      </c>
      <c r="E15" s="2">
        <f>IF(D15="Yes",0,IFERROR(VLOOKUP(B15,'Skill Data (Do Not Modify)'!$A$2:$E$149,2,FALSE),"N/A"))</f>
        <v>0</v>
      </c>
      <c r="F15" s="2">
        <f t="shared" si="0"/>
        <v>0</v>
      </c>
      <c r="G15" s="2"/>
      <c r="H15" s="2" t="s">
        <v>55</v>
      </c>
      <c r="I15" s="11" t="s">
        <v>304</v>
      </c>
      <c r="J15" s="11"/>
      <c r="K15" s="14" t="str">
        <f>VLOOKUP(I15,'Skill Data (Do Not Modify)'!$A$2:$E$149,5,FALSE)</f>
        <v>None</v>
      </c>
      <c r="L15" s="2">
        <f>IF(K15="Yes",0,IFERROR(VLOOKUP(I15,'Skill Data (Do Not Modify)'!$A$2:$E$149,2,FALSE),"N/A"))</f>
        <v>0</v>
      </c>
      <c r="M15" s="2">
        <f t="shared" si="1"/>
        <v>0</v>
      </c>
      <c r="N15" s="2"/>
      <c r="O15" s="2" t="s">
        <v>55</v>
      </c>
      <c r="P15" s="11" t="s">
        <v>304</v>
      </c>
      <c r="Q15" s="11"/>
      <c r="R15" s="14" t="str">
        <f>VLOOKUP(P15,'Skill Data (Do Not Modify)'!$A$2:$E$149,5,FALSE)</f>
        <v>None</v>
      </c>
      <c r="S15" s="2">
        <f>IF(R15="Yes",0,IFERROR(VLOOKUP(P15,'Skill Data (Do Not Modify)'!$A$2:$E$149,2,FALSE),"N/A"))</f>
        <v>0</v>
      </c>
      <c r="T15" s="2">
        <f t="shared" si="2"/>
        <v>0</v>
      </c>
      <c r="U15" s="47"/>
      <c r="X15" t="s">
        <v>304</v>
      </c>
    </row>
    <row r="16" spans="1:25" x14ac:dyDescent="0.25">
      <c r="A16" s="2" t="s">
        <v>56</v>
      </c>
      <c r="B16" s="11" t="s">
        <v>304</v>
      </c>
      <c r="C16" s="11"/>
      <c r="D16" s="14" t="str">
        <f>VLOOKUP(B16,'Skill Data (Do Not Modify)'!$A$2:$E$149,5,FALSE)</f>
        <v>None</v>
      </c>
      <c r="E16" s="2">
        <f>IF(D16="Yes",0,IFERROR(VLOOKUP(B16,'Skill Data (Do Not Modify)'!$A$2:$E$149,2,FALSE),"N/A"))</f>
        <v>0</v>
      </c>
      <c r="F16" s="2">
        <f t="shared" si="0"/>
        <v>0</v>
      </c>
      <c r="G16" s="2"/>
      <c r="H16" s="2" t="s">
        <v>56</v>
      </c>
      <c r="I16" s="11" t="s">
        <v>304</v>
      </c>
      <c r="J16" s="11"/>
      <c r="K16" s="14" t="str">
        <f>VLOOKUP(I16,'Skill Data (Do Not Modify)'!$A$2:$E$149,5,FALSE)</f>
        <v>None</v>
      </c>
      <c r="L16" s="2">
        <f>IF(K16="Yes",0,IFERROR(VLOOKUP(I16,'Skill Data (Do Not Modify)'!$A$2:$E$149,2,FALSE),"N/A"))</f>
        <v>0</v>
      </c>
      <c r="M16" s="2">
        <f t="shared" si="1"/>
        <v>0</v>
      </c>
      <c r="N16" s="2"/>
      <c r="O16" s="2" t="s">
        <v>56</v>
      </c>
      <c r="P16" s="11" t="s">
        <v>304</v>
      </c>
      <c r="Q16" s="11"/>
      <c r="R16" s="14" t="str">
        <f>VLOOKUP(P16,'Skill Data (Do Not Modify)'!$A$2:$E$149,5,FALSE)</f>
        <v>None</v>
      </c>
      <c r="S16" s="2">
        <f>IF(R16="Yes",0,IFERROR(VLOOKUP(P16,'Skill Data (Do Not Modify)'!$A$2:$E$149,2,FALSE),"N/A"))</f>
        <v>0</v>
      </c>
      <c r="T16" s="2">
        <f t="shared" si="2"/>
        <v>0</v>
      </c>
      <c r="U16" s="47"/>
      <c r="X16" t="s">
        <v>304</v>
      </c>
    </row>
    <row r="17" spans="1:25" x14ac:dyDescent="0.25">
      <c r="A17" s="2" t="s">
        <v>57</v>
      </c>
      <c r="B17" s="11" t="s">
        <v>304</v>
      </c>
      <c r="C17" s="11"/>
      <c r="D17" s="14" t="str">
        <f>VLOOKUP(B17,'Skill Data (Do Not Modify)'!$A$2:$E$149,5,FALSE)</f>
        <v>None</v>
      </c>
      <c r="E17" s="2">
        <f>IF(D17="Yes",0,IFERROR(VLOOKUP(B17,'Skill Data (Do Not Modify)'!$A$2:$E$149,2,FALSE),"N/A"))</f>
        <v>0</v>
      </c>
      <c r="F17" s="2">
        <f t="shared" si="0"/>
        <v>0</v>
      </c>
      <c r="G17" s="2"/>
      <c r="H17" s="2" t="s">
        <v>57</v>
      </c>
      <c r="I17" s="11" t="s">
        <v>304</v>
      </c>
      <c r="J17" s="11"/>
      <c r="K17" s="14" t="str">
        <f>VLOOKUP(I17,'Skill Data (Do Not Modify)'!$A$2:$E$149,5,FALSE)</f>
        <v>None</v>
      </c>
      <c r="L17" s="2">
        <f>IF(K17="Yes",0,IFERROR(VLOOKUP(I17,'Skill Data (Do Not Modify)'!$A$2:$E$149,2,FALSE),"N/A"))</f>
        <v>0</v>
      </c>
      <c r="M17" s="2">
        <f t="shared" si="1"/>
        <v>0</v>
      </c>
      <c r="N17" s="2"/>
      <c r="O17" s="2" t="s">
        <v>57</v>
      </c>
      <c r="P17" s="11" t="s">
        <v>304</v>
      </c>
      <c r="Q17" s="11"/>
      <c r="R17" s="14" t="str">
        <f>VLOOKUP(P17,'Skill Data (Do Not Modify)'!$A$2:$E$149,5,FALSE)</f>
        <v>None</v>
      </c>
      <c r="S17" s="2">
        <f>IF(R17="Yes",0,IFERROR(VLOOKUP(P17,'Skill Data (Do Not Modify)'!$A$2:$E$149,2,FALSE),"N/A"))</f>
        <v>0</v>
      </c>
      <c r="T17" s="2">
        <f t="shared" si="2"/>
        <v>0</v>
      </c>
      <c r="U17" s="47"/>
      <c r="X17" t="s">
        <v>304</v>
      </c>
    </row>
    <row r="18" spans="1:25" x14ac:dyDescent="0.25">
      <c r="A18" s="2" t="s">
        <v>61</v>
      </c>
      <c r="B18" s="11" t="s">
        <v>304</v>
      </c>
      <c r="C18" s="11"/>
      <c r="D18" s="14" t="str">
        <f>VLOOKUP(B18,'Skill Data (Do Not Modify)'!$A$2:$E$149,5,FALSE)</f>
        <v>None</v>
      </c>
      <c r="E18" s="2">
        <f>IF(D18="Yes",0,IFERROR(VLOOKUP(B18,'Skill Data (Do Not Modify)'!$A$2:$E$149,2,FALSE),"N/A"))</f>
        <v>0</v>
      </c>
      <c r="F18" s="2">
        <f t="shared" si="0"/>
        <v>0</v>
      </c>
      <c r="G18" s="2"/>
      <c r="H18" s="2" t="s">
        <v>61</v>
      </c>
      <c r="I18" s="11" t="s">
        <v>304</v>
      </c>
      <c r="J18" s="11"/>
      <c r="K18" s="14" t="str">
        <f>VLOOKUP(I18,'Skill Data (Do Not Modify)'!$A$2:$E$149,5,FALSE)</f>
        <v>None</v>
      </c>
      <c r="L18" s="2">
        <f>IF(K18="Yes",0,IFERROR(VLOOKUP(I18,'Skill Data (Do Not Modify)'!$A$2:$E$149,2,FALSE),"N/A"))</f>
        <v>0</v>
      </c>
      <c r="M18" s="2">
        <f t="shared" si="1"/>
        <v>0</v>
      </c>
      <c r="N18" s="2"/>
      <c r="O18" s="2" t="s">
        <v>61</v>
      </c>
      <c r="P18" s="11" t="s">
        <v>304</v>
      </c>
      <c r="Q18" s="11"/>
      <c r="R18" s="14" t="str">
        <f>VLOOKUP(P18,'Skill Data (Do Not Modify)'!$A$2:$E$149,5,FALSE)</f>
        <v>None</v>
      </c>
      <c r="S18" s="2">
        <f>IF(R18="Yes",0,IFERROR(VLOOKUP(P18,'Skill Data (Do Not Modify)'!$A$2:$E$149,2,FALSE),"N/A"))</f>
        <v>0</v>
      </c>
      <c r="T18" s="2">
        <f t="shared" si="2"/>
        <v>0</v>
      </c>
      <c r="U18" s="47"/>
      <c r="X18" t="s">
        <v>304</v>
      </c>
    </row>
    <row r="19" spans="1:25" x14ac:dyDescent="0.25">
      <c r="A19" s="2" t="s">
        <v>311</v>
      </c>
      <c r="B19" s="11" t="s">
        <v>304</v>
      </c>
      <c r="C19" s="11"/>
      <c r="D19" s="14" t="str">
        <f>VLOOKUP(B19,'Skill Data (Do Not Modify)'!$A$2:$E$149,5,FALSE)</f>
        <v>None</v>
      </c>
      <c r="E19" s="2">
        <f>IF(D19="Yes",0,IFERROR(VLOOKUP(B19,'Skill Data (Do Not Modify)'!$A$2:$E$149,2,FALSE),"N/A"))</f>
        <v>0</v>
      </c>
      <c r="F19" s="2">
        <f t="shared" si="0"/>
        <v>0</v>
      </c>
      <c r="G19" s="2"/>
      <c r="H19" s="2" t="s">
        <v>311</v>
      </c>
      <c r="I19" s="11" t="s">
        <v>304</v>
      </c>
      <c r="J19" s="11"/>
      <c r="K19" s="14" t="str">
        <f>VLOOKUP(I19,'Skill Data (Do Not Modify)'!$A$2:$E$149,5,FALSE)</f>
        <v>None</v>
      </c>
      <c r="L19" s="2">
        <f>IF(K19="Yes",0,IFERROR(VLOOKUP(I19,'Skill Data (Do Not Modify)'!$A$2:$E$149,2,FALSE),"N/A"))</f>
        <v>0</v>
      </c>
      <c r="M19" s="2">
        <f t="shared" si="1"/>
        <v>0</v>
      </c>
      <c r="N19" s="2"/>
      <c r="O19" s="2" t="s">
        <v>311</v>
      </c>
      <c r="P19" s="11" t="s">
        <v>304</v>
      </c>
      <c r="Q19" s="11"/>
      <c r="R19" s="14" t="str">
        <f>VLOOKUP(P19,'Skill Data (Do Not Modify)'!$A$2:$E$149,5,FALSE)</f>
        <v>None</v>
      </c>
      <c r="S19" s="2">
        <f>IF(R19="Yes",0,IFERROR(VLOOKUP(P19,'Skill Data (Do Not Modify)'!$A$2:$E$149,2,FALSE),"N/A"))</f>
        <v>0</v>
      </c>
      <c r="T19" s="2">
        <f t="shared" si="2"/>
        <v>0</v>
      </c>
      <c r="U19" s="47"/>
    </row>
    <row r="20" spans="1:25" x14ac:dyDescent="0.25">
      <c r="A20" s="2" t="s">
        <v>312</v>
      </c>
      <c r="B20" s="11" t="s">
        <v>304</v>
      </c>
      <c r="C20" s="11"/>
      <c r="D20" s="14" t="str">
        <f>VLOOKUP(B20,'Skill Data (Do Not Modify)'!$A$2:$E$149,5,FALSE)</f>
        <v>None</v>
      </c>
      <c r="E20" s="2">
        <f>IF(D20="Yes",0,IFERROR(VLOOKUP(B20,'Skill Data (Do Not Modify)'!$A$2:$E$149,2,FALSE),"N/A"))</f>
        <v>0</v>
      </c>
      <c r="F20" s="2">
        <f t="shared" si="0"/>
        <v>0</v>
      </c>
      <c r="G20" s="2"/>
      <c r="H20" s="2" t="s">
        <v>312</v>
      </c>
      <c r="I20" s="11" t="s">
        <v>304</v>
      </c>
      <c r="J20" s="11"/>
      <c r="K20" s="14" t="str">
        <f>VLOOKUP(I20,'Skill Data (Do Not Modify)'!$A$2:$E$149,5,FALSE)</f>
        <v>None</v>
      </c>
      <c r="L20" s="2">
        <f>IF(K20="Yes",0,IFERROR(VLOOKUP(I20,'Skill Data (Do Not Modify)'!$A$2:$E$149,2,FALSE),"N/A"))</f>
        <v>0</v>
      </c>
      <c r="M20" s="2">
        <f t="shared" si="1"/>
        <v>0</v>
      </c>
      <c r="N20" s="2"/>
      <c r="O20" s="2" t="s">
        <v>312</v>
      </c>
      <c r="P20" s="11" t="s">
        <v>304</v>
      </c>
      <c r="Q20" s="11"/>
      <c r="R20" s="14" t="str">
        <f>VLOOKUP(P20,'Skill Data (Do Not Modify)'!$A$2:$E$149,5,FALSE)</f>
        <v>None</v>
      </c>
      <c r="S20" s="2">
        <f>IF(R20="Yes",0,IFERROR(VLOOKUP(P20,'Skill Data (Do Not Modify)'!$A$2:$E$149,2,FALSE),"N/A"))</f>
        <v>0</v>
      </c>
      <c r="T20" s="2">
        <f t="shared" si="2"/>
        <v>0</v>
      </c>
      <c r="U20" s="47"/>
    </row>
    <row r="21" spans="1:25" x14ac:dyDescent="0.25">
      <c r="A21" s="2" t="s">
        <v>313</v>
      </c>
      <c r="B21" s="11" t="s">
        <v>304</v>
      </c>
      <c r="C21" s="11"/>
      <c r="D21" s="14" t="str">
        <f>VLOOKUP(B21,'Skill Data (Do Not Modify)'!$A$2:$E$149,5,FALSE)</f>
        <v>None</v>
      </c>
      <c r="E21" s="2">
        <f>IF(D21="Yes",0,IFERROR(VLOOKUP(B21,'Skill Data (Do Not Modify)'!$A$2:$E$149,2,FALSE),"N/A"))</f>
        <v>0</v>
      </c>
      <c r="F21" s="2">
        <f t="shared" si="0"/>
        <v>0</v>
      </c>
      <c r="G21" s="2"/>
      <c r="H21" s="2" t="s">
        <v>313</v>
      </c>
      <c r="I21" s="11" t="s">
        <v>304</v>
      </c>
      <c r="J21" s="11"/>
      <c r="K21" s="14" t="str">
        <f>VLOOKUP(I21,'Skill Data (Do Not Modify)'!$A$2:$E$149,5,FALSE)</f>
        <v>None</v>
      </c>
      <c r="L21" s="2">
        <f>IF(K21="Yes",0,IFERROR(VLOOKUP(I21,'Skill Data (Do Not Modify)'!$A$2:$E$149,2,FALSE),"N/A"))</f>
        <v>0</v>
      </c>
      <c r="M21" s="2">
        <f t="shared" si="1"/>
        <v>0</v>
      </c>
      <c r="N21" s="2"/>
      <c r="O21" s="2" t="s">
        <v>313</v>
      </c>
      <c r="P21" s="11" t="s">
        <v>304</v>
      </c>
      <c r="Q21" s="11"/>
      <c r="R21" s="14" t="str">
        <f>VLOOKUP(P21,'Skill Data (Do Not Modify)'!$A$2:$E$149,5,FALSE)</f>
        <v>None</v>
      </c>
      <c r="S21" s="2">
        <f>IF(R21="Yes",0,IFERROR(VLOOKUP(P21,'Skill Data (Do Not Modify)'!$A$2:$E$149,2,FALSE),"N/A"))</f>
        <v>0</v>
      </c>
      <c r="T21" s="2">
        <f t="shared" si="2"/>
        <v>0</v>
      </c>
      <c r="U21" s="47"/>
    </row>
    <row r="22" spans="1:25" x14ac:dyDescent="0.25">
      <c r="A22" s="2" t="s">
        <v>314</v>
      </c>
      <c r="B22" s="11" t="s">
        <v>304</v>
      </c>
      <c r="C22" s="11"/>
      <c r="D22" s="14" t="str">
        <f>VLOOKUP(B22,'Skill Data (Do Not Modify)'!$A$2:$E$149,5,FALSE)</f>
        <v>None</v>
      </c>
      <c r="E22" s="2">
        <f>IF(D22="Yes",0,IFERROR(VLOOKUP(B22,'Skill Data (Do Not Modify)'!$A$2:$E$149,2,FALSE),"N/A"))</f>
        <v>0</v>
      </c>
      <c r="F22" s="2">
        <f t="shared" si="0"/>
        <v>0</v>
      </c>
      <c r="G22" s="2"/>
      <c r="H22" s="2" t="s">
        <v>314</v>
      </c>
      <c r="I22" s="11" t="s">
        <v>304</v>
      </c>
      <c r="J22" s="11"/>
      <c r="K22" s="14" t="str">
        <f>VLOOKUP(I22,'Skill Data (Do Not Modify)'!$A$2:$E$149,5,FALSE)</f>
        <v>None</v>
      </c>
      <c r="L22" s="2">
        <f>IF(K22="Yes",0,IFERROR(VLOOKUP(I22,'Skill Data (Do Not Modify)'!$A$2:$E$149,2,FALSE),"N/A"))</f>
        <v>0</v>
      </c>
      <c r="M22" s="2">
        <f t="shared" si="1"/>
        <v>0</v>
      </c>
      <c r="N22" s="2"/>
      <c r="O22" s="2" t="s">
        <v>314</v>
      </c>
      <c r="P22" s="11" t="s">
        <v>304</v>
      </c>
      <c r="Q22" s="11"/>
      <c r="R22" s="14" t="str">
        <f>VLOOKUP(P22,'Skill Data (Do Not Modify)'!$A$2:$E$149,5,FALSE)</f>
        <v>None</v>
      </c>
      <c r="S22" s="2">
        <f>IF(R22="Yes",0,IFERROR(VLOOKUP(P22,'Skill Data (Do Not Modify)'!$A$2:$E$149,2,FALSE),"N/A"))</f>
        <v>0</v>
      </c>
      <c r="T22" s="2">
        <f t="shared" si="2"/>
        <v>0</v>
      </c>
      <c r="U22" s="47"/>
    </row>
    <row r="23" spans="1:25" x14ac:dyDescent="0.25">
      <c r="A23" s="2" t="s">
        <v>315</v>
      </c>
      <c r="B23" s="11" t="s">
        <v>304</v>
      </c>
      <c r="C23" s="11"/>
      <c r="D23" s="14" t="str">
        <f>VLOOKUP(B23,'Skill Data (Do Not Modify)'!$A$2:$E$149,5,FALSE)</f>
        <v>None</v>
      </c>
      <c r="E23" s="2">
        <f>IF(D23="Yes",0,IFERROR(VLOOKUP(B23,'Skill Data (Do Not Modify)'!$A$2:$E$149,2,FALSE),"N/A"))</f>
        <v>0</v>
      </c>
      <c r="F23" s="2">
        <f t="shared" si="0"/>
        <v>0</v>
      </c>
      <c r="G23" s="2"/>
      <c r="H23" s="2" t="s">
        <v>315</v>
      </c>
      <c r="I23" s="11" t="s">
        <v>304</v>
      </c>
      <c r="J23" s="11"/>
      <c r="K23" s="14" t="str">
        <f>VLOOKUP(I23,'Skill Data (Do Not Modify)'!$A$2:$E$149,5,FALSE)</f>
        <v>None</v>
      </c>
      <c r="L23" s="2">
        <f>IF(K23="Yes",0,IFERROR(VLOOKUP(I23,'Skill Data (Do Not Modify)'!$A$2:$E$149,2,FALSE),"N/A"))</f>
        <v>0</v>
      </c>
      <c r="M23" s="2">
        <f t="shared" si="1"/>
        <v>0</v>
      </c>
      <c r="N23" s="2"/>
      <c r="O23" s="2" t="s">
        <v>315</v>
      </c>
      <c r="P23" s="11" t="s">
        <v>304</v>
      </c>
      <c r="Q23" s="11"/>
      <c r="R23" s="14" t="str">
        <f>VLOOKUP(P23,'Skill Data (Do Not Modify)'!$A$2:$E$149,5,FALSE)</f>
        <v>None</v>
      </c>
      <c r="S23" s="2">
        <f>IF(R23="Yes",0,IFERROR(VLOOKUP(P23,'Skill Data (Do Not Modify)'!$A$2:$E$149,2,FALSE),"N/A"))</f>
        <v>0</v>
      </c>
      <c r="T23" s="2">
        <f t="shared" si="2"/>
        <v>0</v>
      </c>
      <c r="U23" s="47"/>
      <c r="X23" s="55" t="s">
        <v>153</v>
      </c>
    </row>
    <row r="24" spans="1:25" x14ac:dyDescent="0.25">
      <c r="A24" s="2" t="s">
        <v>63</v>
      </c>
      <c r="B24" s="2"/>
      <c r="C24" s="2">
        <f>SUM(C4:C12)</f>
        <v>10</v>
      </c>
      <c r="D24" s="2"/>
      <c r="E24" s="2">
        <f>F24</f>
        <v>2389.6</v>
      </c>
      <c r="F24" s="2">
        <f>SUMIF(D4:D23,D4,F4:F23)/B2</f>
        <v>2389.6</v>
      </c>
      <c r="G24" s="2"/>
      <c r="H24" s="2" t="s">
        <v>63</v>
      </c>
      <c r="I24" s="2"/>
      <c r="J24" s="2">
        <f>SUM(J4:J12)</f>
        <v>9.5</v>
      </c>
      <c r="K24" s="2"/>
      <c r="L24" s="2">
        <f>M24</f>
        <v>2389.6</v>
      </c>
      <c r="M24" s="2">
        <f>SUMIF(K4:K23,K4,M4:M23)/I2</f>
        <v>2389.6</v>
      </c>
      <c r="N24" s="2"/>
      <c r="O24" s="2" t="s">
        <v>63</v>
      </c>
      <c r="P24" s="2"/>
      <c r="Q24" s="2">
        <f>SUM(Q4:Q12)</f>
        <v>9.5</v>
      </c>
      <c r="R24" s="2"/>
      <c r="S24" s="2">
        <f>T24</f>
        <v>2389.6</v>
      </c>
      <c r="T24" s="2">
        <f>SUMIF(R4:R23,R4,T4:T23)/P2</f>
        <v>2389.6</v>
      </c>
      <c r="U24" s="47"/>
      <c r="X24" s="55" t="s">
        <v>160</v>
      </c>
    </row>
    <row r="25" spans="1:25" x14ac:dyDescent="0.25">
      <c r="A25" s="2" t="s">
        <v>83</v>
      </c>
      <c r="B25" s="11" t="s">
        <v>81</v>
      </c>
      <c r="C25" s="11"/>
      <c r="D25" s="2"/>
      <c r="E25" s="11">
        <v>250</v>
      </c>
      <c r="F25" s="4"/>
      <c r="G25" s="2"/>
      <c r="H25" s="2" t="s">
        <v>83</v>
      </c>
      <c r="I25" s="11" t="s">
        <v>81</v>
      </c>
      <c r="J25" s="11"/>
      <c r="K25" s="2"/>
      <c r="L25" s="11">
        <v>250</v>
      </c>
      <c r="M25" s="4"/>
      <c r="N25" s="2"/>
      <c r="O25" s="2" t="s">
        <v>83</v>
      </c>
      <c r="P25" s="11" t="s">
        <v>81</v>
      </c>
      <c r="Q25" s="11"/>
      <c r="R25" s="2"/>
      <c r="S25" s="11">
        <v>250</v>
      </c>
      <c r="T25" s="4"/>
      <c r="U25" s="47"/>
      <c r="X25" s="55" t="s">
        <v>157</v>
      </c>
    </row>
    <row r="26" spans="1:25" x14ac:dyDescent="0.25">
      <c r="A26" s="2" t="s">
        <v>82</v>
      </c>
      <c r="B26" s="11"/>
      <c r="C26" s="11">
        <v>3.5</v>
      </c>
      <c r="D26" s="2"/>
      <c r="E26" s="11">
        <f>C26</f>
        <v>3.5</v>
      </c>
      <c r="F26" s="4"/>
      <c r="G26" s="2"/>
      <c r="H26" s="2" t="s">
        <v>82</v>
      </c>
      <c r="I26" s="11"/>
      <c r="J26" s="11">
        <v>3.5</v>
      </c>
      <c r="K26" s="2"/>
      <c r="L26" s="11">
        <f>J26</f>
        <v>3.5</v>
      </c>
      <c r="M26" s="4"/>
      <c r="N26" s="2"/>
      <c r="O26" s="2" t="s">
        <v>82</v>
      </c>
      <c r="P26" s="11"/>
      <c r="Q26" s="11">
        <v>3.5</v>
      </c>
      <c r="R26" s="2"/>
      <c r="S26" s="11">
        <f>Q26</f>
        <v>3.5</v>
      </c>
      <c r="T26" s="4"/>
      <c r="U26" s="47"/>
      <c r="X26" s="55" t="s">
        <v>155</v>
      </c>
    </row>
    <row r="27" spans="1:25" x14ac:dyDescent="0.25">
      <c r="A27" s="2"/>
      <c r="B27" s="2"/>
      <c r="C27" s="2"/>
      <c r="D27" s="2"/>
      <c r="E27" s="2"/>
      <c r="F27" s="4"/>
      <c r="G27" s="2"/>
      <c r="H27" s="2"/>
      <c r="I27" s="2"/>
      <c r="J27" s="2"/>
      <c r="K27" s="2"/>
      <c r="L27" s="2"/>
      <c r="M27" s="4"/>
      <c r="N27" s="2"/>
      <c r="O27" s="2"/>
      <c r="P27" s="2"/>
      <c r="Q27" s="2"/>
      <c r="R27" s="2"/>
      <c r="S27" s="2"/>
      <c r="T27" s="4"/>
      <c r="U27" s="47"/>
      <c r="X27" s="55" t="s">
        <v>129</v>
      </c>
    </row>
    <row r="28" spans="1:25" x14ac:dyDescent="0.25">
      <c r="A28" s="2" t="s">
        <v>64</v>
      </c>
      <c r="B28" s="2"/>
      <c r="C28" s="2"/>
      <c r="D28" s="2"/>
      <c r="E28" s="3" t="s">
        <v>65</v>
      </c>
      <c r="F28" s="4"/>
      <c r="G28" s="2"/>
      <c r="H28" s="2" t="s">
        <v>64</v>
      </c>
      <c r="I28" s="2"/>
      <c r="J28" s="2"/>
      <c r="K28" s="2"/>
      <c r="L28" s="3" t="s">
        <v>65</v>
      </c>
      <c r="M28" s="4"/>
      <c r="N28" s="2"/>
      <c r="O28" s="2" t="s">
        <v>64</v>
      </c>
      <c r="P28" s="2"/>
      <c r="Q28" s="2"/>
      <c r="R28" s="2"/>
      <c r="S28" s="3" t="s">
        <v>65</v>
      </c>
      <c r="T28" s="4"/>
      <c r="U28" s="47"/>
      <c r="X28" s="55" t="s">
        <v>172</v>
      </c>
    </row>
    <row r="29" spans="1:25" x14ac:dyDescent="0.25">
      <c r="X29" s="55" t="s">
        <v>209</v>
      </c>
    </row>
    <row r="30" spans="1:25" ht="18.75" x14ac:dyDescent="0.3">
      <c r="A30" s="5" t="s">
        <v>72</v>
      </c>
      <c r="B30" s="5" t="str">
        <f>'Stamina Sheet'!D2</f>
        <v>Templar</v>
      </c>
      <c r="C30" s="2"/>
      <c r="D30" s="2"/>
      <c r="E30" s="2"/>
      <c r="F30" s="4"/>
      <c r="G30" s="2"/>
      <c r="H30" s="5" t="s">
        <v>73</v>
      </c>
      <c r="I30" s="5" t="str">
        <f>'Stamina Sheet'!E2</f>
        <v>Templar</v>
      </c>
      <c r="J30" s="2"/>
      <c r="K30" s="2"/>
      <c r="L30" s="2"/>
      <c r="M30" s="4"/>
      <c r="N30" s="2"/>
      <c r="O30" s="5" t="s">
        <v>74</v>
      </c>
      <c r="P30" s="5" t="str">
        <f>'Stamina Sheet'!F2</f>
        <v>Templar</v>
      </c>
      <c r="Q30" s="2"/>
      <c r="R30" s="2"/>
      <c r="S30" s="2"/>
      <c r="T30" s="4"/>
      <c r="U30" s="47"/>
    </row>
    <row r="31" spans="1:25" ht="18.75" x14ac:dyDescent="0.3">
      <c r="A31" s="5" t="s">
        <v>62</v>
      </c>
      <c r="B31" s="5">
        <v>12</v>
      </c>
      <c r="C31" s="2"/>
      <c r="D31" s="2"/>
      <c r="E31" s="2"/>
      <c r="F31" s="4"/>
      <c r="G31" s="2"/>
      <c r="H31" s="5" t="s">
        <v>62</v>
      </c>
      <c r="I31" s="5">
        <v>12</v>
      </c>
      <c r="J31" s="2"/>
      <c r="K31" s="2"/>
      <c r="L31" s="2"/>
      <c r="M31" s="4"/>
      <c r="N31" s="2"/>
      <c r="O31" s="5" t="s">
        <v>62</v>
      </c>
      <c r="P31" s="5">
        <v>12</v>
      </c>
      <c r="Q31" s="2"/>
      <c r="R31" s="2"/>
      <c r="S31" s="2"/>
      <c r="T31" s="4"/>
      <c r="U31" s="47"/>
      <c r="X31" s="55" t="s">
        <v>153</v>
      </c>
      <c r="Y31" s="55">
        <v>9</v>
      </c>
    </row>
    <row r="32" spans="1:25" x14ac:dyDescent="0.25">
      <c r="A32" s="2"/>
      <c r="B32" s="4" t="s">
        <v>60</v>
      </c>
      <c r="C32" s="4" t="s">
        <v>58</v>
      </c>
      <c r="D32" s="2" t="s">
        <v>323</v>
      </c>
      <c r="E32" s="4" t="s">
        <v>59</v>
      </c>
      <c r="F32" s="4" t="s">
        <v>324</v>
      </c>
      <c r="G32" s="2"/>
      <c r="H32" s="2"/>
      <c r="I32" s="4" t="s">
        <v>60</v>
      </c>
      <c r="J32" s="4" t="s">
        <v>58</v>
      </c>
      <c r="K32" s="2" t="s">
        <v>323</v>
      </c>
      <c r="L32" s="4" t="s">
        <v>59</v>
      </c>
      <c r="M32" s="4" t="s">
        <v>324</v>
      </c>
      <c r="N32" s="2"/>
      <c r="O32" s="2"/>
      <c r="P32" s="4" t="s">
        <v>60</v>
      </c>
      <c r="Q32" s="4" t="s">
        <v>58</v>
      </c>
      <c r="R32" s="2" t="s">
        <v>323</v>
      </c>
      <c r="S32" s="4" t="s">
        <v>59</v>
      </c>
      <c r="T32" s="4" t="s">
        <v>324</v>
      </c>
      <c r="U32" s="47"/>
      <c r="X32" s="55" t="s">
        <v>160</v>
      </c>
      <c r="Y32" s="55">
        <v>1</v>
      </c>
    </row>
    <row r="33" spans="1:25" x14ac:dyDescent="0.25">
      <c r="A33" s="2" t="s">
        <v>44</v>
      </c>
      <c r="B33" s="19" t="s">
        <v>216</v>
      </c>
      <c r="C33" s="19">
        <v>3</v>
      </c>
      <c r="D33" s="52" t="str">
        <f>VLOOKUP(B33,'Skill Data (Do Not Modify)'!$A$2:$E$149,5,FALSE)</f>
        <v>Stamina</v>
      </c>
      <c r="E33" s="2">
        <f>IF(D33="Yes",0,IFERROR(VLOOKUP(B33,'Skill Data (Do Not Modify)'!$A$2:$E$149,2,FALSE),"N/A"))</f>
        <v>2509.1999999999998</v>
      </c>
      <c r="F33" s="2">
        <f>E33*C33</f>
        <v>7527.5999999999995</v>
      </c>
      <c r="G33" s="2"/>
      <c r="H33" s="2" t="s">
        <v>44</v>
      </c>
      <c r="I33" s="19" t="s">
        <v>216</v>
      </c>
      <c r="J33" s="19">
        <v>3</v>
      </c>
      <c r="K33" s="52" t="str">
        <f>VLOOKUP(I33,'Skill Data (Do Not Modify)'!$A$2:$E$149,5,FALSE)</f>
        <v>Stamina</v>
      </c>
      <c r="L33" s="2">
        <f>IF(K33="Yes",0,IFERROR(VLOOKUP(I33,'Skill Data (Do Not Modify)'!$A$2:$E$149,2,FALSE),"N/A"))</f>
        <v>2509.1999999999998</v>
      </c>
      <c r="M33" s="2">
        <f>L33*J33</f>
        <v>7527.5999999999995</v>
      </c>
      <c r="N33" s="2"/>
      <c r="O33" s="2" t="s">
        <v>44</v>
      </c>
      <c r="P33" s="19" t="s">
        <v>216</v>
      </c>
      <c r="Q33" s="19">
        <v>3</v>
      </c>
      <c r="R33" s="52" t="str">
        <f>VLOOKUP(P33,'Skill Data (Do Not Modify)'!$A$2:$E$149,5,FALSE)</f>
        <v>Stamina</v>
      </c>
      <c r="S33" s="2">
        <f>IF(R33="Yes",0,IFERROR(VLOOKUP(P33,'Skill Data (Do Not Modify)'!$A$2:$E$149,2,FALSE),"N/A"))</f>
        <v>2509.1999999999998</v>
      </c>
      <c r="T33" s="2">
        <f>S33*Q33</f>
        <v>7527.5999999999995</v>
      </c>
      <c r="U33" s="47"/>
      <c r="X33" s="55" t="s">
        <v>157</v>
      </c>
      <c r="Y33" s="55">
        <v>2</v>
      </c>
    </row>
    <row r="34" spans="1:25" x14ac:dyDescent="0.25">
      <c r="A34" s="2" t="s">
        <v>45</v>
      </c>
      <c r="B34" s="19" t="s">
        <v>321</v>
      </c>
      <c r="C34" s="19">
        <v>2</v>
      </c>
      <c r="D34" s="52" t="str">
        <f>VLOOKUP(B34,'Skill Data (Do Not Modify)'!$A$2:$E$149,5,FALSE)</f>
        <v>Stamina</v>
      </c>
      <c r="E34" s="2">
        <f>IF(D34="Yes",0,IFERROR(VLOOKUP(B34,'Skill Data (Do Not Modify)'!$A$2:$E$149,2,FALSE),"N/A"))</f>
        <v>1606.5</v>
      </c>
      <c r="F34" s="2">
        <f t="shared" ref="F34:F52" si="3">E34*C34</f>
        <v>3213</v>
      </c>
      <c r="G34" s="2"/>
      <c r="H34" s="2" t="s">
        <v>45</v>
      </c>
      <c r="I34" s="19" t="s">
        <v>321</v>
      </c>
      <c r="J34" s="19">
        <v>2</v>
      </c>
      <c r="K34" s="52" t="str">
        <f>VLOOKUP(I34,'Skill Data (Do Not Modify)'!$A$2:$E$149,5,FALSE)</f>
        <v>Stamina</v>
      </c>
      <c r="L34" s="2">
        <f>IF(K34="Yes",0,IFERROR(VLOOKUP(I34,'Skill Data (Do Not Modify)'!$A$2:$E$149,2,FALSE),"N/A"))</f>
        <v>1606.5</v>
      </c>
      <c r="M34" s="2">
        <f t="shared" ref="M34:M52" si="4">L34*J34</f>
        <v>3213</v>
      </c>
      <c r="N34" s="2"/>
      <c r="O34" s="2" t="s">
        <v>45</v>
      </c>
      <c r="P34" s="19" t="s">
        <v>321</v>
      </c>
      <c r="Q34" s="19">
        <v>2</v>
      </c>
      <c r="R34" s="52" t="str">
        <f>VLOOKUP(P34,'Skill Data (Do Not Modify)'!$A$2:$E$149,5,FALSE)</f>
        <v>Stamina</v>
      </c>
      <c r="S34" s="2">
        <f>IF(R34="Yes",0,IFERROR(VLOOKUP(P34,'Skill Data (Do Not Modify)'!$A$2:$E$149,2,FALSE),"N/A"))</f>
        <v>1606.5</v>
      </c>
      <c r="T34" s="2">
        <f t="shared" ref="T34:T52" si="5">S34*Q34</f>
        <v>3213</v>
      </c>
      <c r="U34" s="47"/>
      <c r="X34" s="55" t="s">
        <v>155</v>
      </c>
      <c r="Y34" s="55">
        <v>2</v>
      </c>
    </row>
    <row r="35" spans="1:25" x14ac:dyDescent="0.25">
      <c r="A35" s="2" t="s">
        <v>46</v>
      </c>
      <c r="B35" s="19" t="s">
        <v>130</v>
      </c>
      <c r="C35" s="19">
        <v>1</v>
      </c>
      <c r="D35" s="52" t="str">
        <f>VLOOKUP(B35,'Skill Data (Do Not Modify)'!$A$2:$E$149,5,FALSE)</f>
        <v>Stamina</v>
      </c>
      <c r="E35" s="2">
        <f>IF(D35="Yes",0,IFERROR(VLOOKUP(B35,'Skill Data (Do Not Modify)'!$A$2:$E$149,2,FALSE),"N/A"))</f>
        <v>3213</v>
      </c>
      <c r="F35" s="2">
        <f t="shared" si="3"/>
        <v>3213</v>
      </c>
      <c r="G35" s="2"/>
      <c r="H35" s="2" t="s">
        <v>46</v>
      </c>
      <c r="I35" s="19" t="s">
        <v>130</v>
      </c>
      <c r="J35" s="19">
        <v>1</v>
      </c>
      <c r="K35" s="52" t="str">
        <f>VLOOKUP(I35,'Skill Data (Do Not Modify)'!$A$2:$E$149,5,FALSE)</f>
        <v>Stamina</v>
      </c>
      <c r="L35" s="2">
        <f>IF(K35="Yes",0,IFERROR(VLOOKUP(I35,'Skill Data (Do Not Modify)'!$A$2:$E$149,2,FALSE),"N/A"))</f>
        <v>3213</v>
      </c>
      <c r="M35" s="2">
        <f t="shared" si="4"/>
        <v>3213</v>
      </c>
      <c r="N35" s="2"/>
      <c r="O35" s="2" t="s">
        <v>46</v>
      </c>
      <c r="P35" s="19" t="s">
        <v>130</v>
      </c>
      <c r="Q35" s="19">
        <v>1</v>
      </c>
      <c r="R35" s="52" t="str">
        <f>VLOOKUP(P35,'Skill Data (Do Not Modify)'!$A$2:$E$149,5,FALSE)</f>
        <v>Stamina</v>
      </c>
      <c r="S35" s="2">
        <f>IF(R35="Yes",0,IFERROR(VLOOKUP(P35,'Skill Data (Do Not Modify)'!$A$2:$E$149,2,FALSE),"N/A"))</f>
        <v>3213</v>
      </c>
      <c r="T35" s="2">
        <f t="shared" si="5"/>
        <v>3213</v>
      </c>
      <c r="U35" s="47"/>
      <c r="X35" s="55" t="s">
        <v>129</v>
      </c>
      <c r="Y35" s="55">
        <v>2</v>
      </c>
    </row>
    <row r="36" spans="1:25" x14ac:dyDescent="0.25">
      <c r="A36" s="2" t="s">
        <v>47</v>
      </c>
      <c r="B36" s="19" t="s">
        <v>341</v>
      </c>
      <c r="C36" s="19">
        <v>1</v>
      </c>
      <c r="D36" s="52" t="str">
        <f>VLOOKUP(B36,'Skill Data (Do Not Modify)'!$A$2:$E$149,5,FALSE)</f>
        <v>Stamina</v>
      </c>
      <c r="E36" s="2">
        <f>IF(D36="Yes",0,IFERROR(VLOOKUP(B36,'Skill Data (Do Not Modify)'!$A$2:$E$149,2,FALSE),"N/A"))</f>
        <v>2984.35</v>
      </c>
      <c r="F36" s="2">
        <f t="shared" si="3"/>
        <v>2984.35</v>
      </c>
      <c r="G36" s="2"/>
      <c r="H36" s="2" t="s">
        <v>47</v>
      </c>
      <c r="I36" s="19" t="s">
        <v>341</v>
      </c>
      <c r="J36" s="19">
        <v>1</v>
      </c>
      <c r="K36" s="52" t="str">
        <f>VLOOKUP(I36,'Skill Data (Do Not Modify)'!$A$2:$E$149,5,FALSE)</f>
        <v>Stamina</v>
      </c>
      <c r="L36" s="2">
        <f>IF(K36="Yes",0,IFERROR(VLOOKUP(I36,'Skill Data (Do Not Modify)'!$A$2:$E$149,2,FALSE),"N/A"))</f>
        <v>2984.35</v>
      </c>
      <c r="M36" s="2">
        <f t="shared" si="4"/>
        <v>2984.35</v>
      </c>
      <c r="N36" s="2"/>
      <c r="O36" s="2" t="s">
        <v>47</v>
      </c>
      <c r="P36" s="19" t="s">
        <v>341</v>
      </c>
      <c r="Q36" s="19">
        <v>1</v>
      </c>
      <c r="R36" s="52" t="str">
        <f>VLOOKUP(P36,'Skill Data (Do Not Modify)'!$A$2:$E$149,5,FALSE)</f>
        <v>Stamina</v>
      </c>
      <c r="S36" s="2">
        <f>IF(R36="Yes",0,IFERROR(VLOOKUP(P36,'Skill Data (Do Not Modify)'!$A$2:$E$149,2,FALSE),"N/A"))</f>
        <v>2984.35</v>
      </c>
      <c r="T36" s="2">
        <f t="shared" si="5"/>
        <v>2984.35</v>
      </c>
      <c r="U36" s="47"/>
      <c r="X36" s="55" t="s">
        <v>172</v>
      </c>
      <c r="Y36" s="55">
        <v>1</v>
      </c>
    </row>
    <row r="37" spans="1:25" x14ac:dyDescent="0.25">
      <c r="A37" s="2" t="s">
        <v>48</v>
      </c>
      <c r="B37" s="19" t="s">
        <v>236</v>
      </c>
      <c r="C37" s="19">
        <v>1</v>
      </c>
      <c r="D37" s="52" t="str">
        <f>VLOOKUP(B37,'Skill Data (Do Not Modify)'!$A$2:$E$149,5,FALSE)</f>
        <v>Stamina</v>
      </c>
      <c r="E37" s="2">
        <f>IF(D37="Yes",0,IFERROR(VLOOKUP(B37,'Skill Data (Do Not Modify)'!$A$2:$E$149,2,FALSE),"N/A"))</f>
        <v>3510</v>
      </c>
      <c r="F37" s="2">
        <f t="shared" si="3"/>
        <v>3510</v>
      </c>
      <c r="G37" s="2"/>
      <c r="H37" s="2" t="s">
        <v>48</v>
      </c>
      <c r="I37" s="19" t="s">
        <v>236</v>
      </c>
      <c r="J37" s="19">
        <v>1</v>
      </c>
      <c r="K37" s="52" t="str">
        <f>VLOOKUP(I37,'Skill Data (Do Not Modify)'!$A$2:$E$149,5,FALSE)</f>
        <v>Stamina</v>
      </c>
      <c r="L37" s="2">
        <f>IF(K37="Yes",0,IFERROR(VLOOKUP(I37,'Skill Data (Do Not Modify)'!$A$2:$E$149,2,FALSE),"N/A"))</f>
        <v>3510</v>
      </c>
      <c r="M37" s="2">
        <f t="shared" si="4"/>
        <v>3510</v>
      </c>
      <c r="N37" s="2"/>
      <c r="O37" s="2" t="s">
        <v>48</v>
      </c>
      <c r="P37" s="19" t="s">
        <v>236</v>
      </c>
      <c r="Q37" s="19">
        <v>1</v>
      </c>
      <c r="R37" s="52" t="str">
        <f>VLOOKUP(P37,'Skill Data (Do Not Modify)'!$A$2:$E$149,5,FALSE)</f>
        <v>Stamina</v>
      </c>
      <c r="S37" s="2">
        <f>IF(R37="Yes",0,IFERROR(VLOOKUP(P37,'Skill Data (Do Not Modify)'!$A$2:$E$149,2,FALSE),"N/A"))</f>
        <v>3510</v>
      </c>
      <c r="T37" s="2">
        <f t="shared" si="5"/>
        <v>3510</v>
      </c>
      <c r="U37" s="47"/>
      <c r="X37" s="55" t="s">
        <v>209</v>
      </c>
      <c r="Y37" s="55">
        <v>1</v>
      </c>
    </row>
    <row r="38" spans="1:25" x14ac:dyDescent="0.25">
      <c r="A38" s="2" t="s">
        <v>49</v>
      </c>
      <c r="B38" s="19" t="s">
        <v>244</v>
      </c>
      <c r="C38" s="19">
        <v>1</v>
      </c>
      <c r="D38" s="52" t="str">
        <f>VLOOKUP(B38,'Skill Data (Do Not Modify)'!$A$2:$E$149,5,FALSE)</f>
        <v>Stamina</v>
      </c>
      <c r="E38" s="2">
        <f>IF(D38="Yes",0,IFERROR(VLOOKUP(B38,'Skill Data (Do Not Modify)'!$A$2:$E$149,2,FALSE),"N/A"))</f>
        <v>1836</v>
      </c>
      <c r="F38" s="2">
        <f t="shared" si="3"/>
        <v>1836</v>
      </c>
      <c r="G38" s="2"/>
      <c r="H38" s="2" t="s">
        <v>49</v>
      </c>
      <c r="I38" s="19" t="s">
        <v>244</v>
      </c>
      <c r="J38" s="19">
        <v>1</v>
      </c>
      <c r="K38" s="52" t="str">
        <f>VLOOKUP(I38,'Skill Data (Do Not Modify)'!$A$2:$E$149,5,FALSE)</f>
        <v>Stamina</v>
      </c>
      <c r="L38" s="2">
        <f>IF(K38="Yes",0,IFERROR(VLOOKUP(I38,'Skill Data (Do Not Modify)'!$A$2:$E$149,2,FALSE),"N/A"))</f>
        <v>1836</v>
      </c>
      <c r="M38" s="2">
        <f t="shared" si="4"/>
        <v>1836</v>
      </c>
      <c r="N38" s="2"/>
      <c r="O38" s="2" t="s">
        <v>49</v>
      </c>
      <c r="P38" s="19" t="s">
        <v>244</v>
      </c>
      <c r="Q38" s="19">
        <v>1</v>
      </c>
      <c r="R38" s="52" t="str">
        <f>VLOOKUP(P38,'Skill Data (Do Not Modify)'!$A$2:$E$149,5,FALSE)</f>
        <v>Stamina</v>
      </c>
      <c r="S38" s="2">
        <f>IF(R38="Yes",0,IFERROR(VLOOKUP(P38,'Skill Data (Do Not Modify)'!$A$2:$E$149,2,FALSE),"N/A"))</f>
        <v>1836</v>
      </c>
      <c r="T38" s="2">
        <f t="shared" si="5"/>
        <v>1836</v>
      </c>
      <c r="U38" s="47"/>
    </row>
    <row r="39" spans="1:25" x14ac:dyDescent="0.25">
      <c r="A39" s="2" t="s">
        <v>50</v>
      </c>
      <c r="B39" s="19" t="s">
        <v>235</v>
      </c>
      <c r="C39" s="19">
        <v>1</v>
      </c>
      <c r="D39" s="52" t="str">
        <f>VLOOKUP(B39,'Skill Data (Do Not Modify)'!$A$2:$E$149,5,FALSE)</f>
        <v>Stamina</v>
      </c>
      <c r="E39" s="2">
        <f>IF(D39="Yes",0,IFERROR(VLOOKUP(B39,'Skill Data (Do Not Modify)'!$A$2:$E$149,2,FALSE),"N/A"))</f>
        <v>2065.5</v>
      </c>
      <c r="F39" s="2">
        <f t="shared" si="3"/>
        <v>2065.5</v>
      </c>
      <c r="G39" s="2"/>
      <c r="H39" s="2" t="s">
        <v>50</v>
      </c>
      <c r="I39" s="19" t="s">
        <v>235</v>
      </c>
      <c r="J39" s="19">
        <v>1</v>
      </c>
      <c r="K39" s="52" t="str">
        <f>VLOOKUP(I39,'Skill Data (Do Not Modify)'!$A$2:$E$149,5,FALSE)</f>
        <v>Stamina</v>
      </c>
      <c r="L39" s="2">
        <f>IF(K39="Yes",0,IFERROR(VLOOKUP(I39,'Skill Data (Do Not Modify)'!$A$2:$E$149,2,FALSE),"N/A"))</f>
        <v>2065.5</v>
      </c>
      <c r="M39" s="2">
        <f t="shared" si="4"/>
        <v>2065.5</v>
      </c>
      <c r="N39" s="2"/>
      <c r="O39" s="2" t="s">
        <v>50</v>
      </c>
      <c r="P39" s="19" t="s">
        <v>235</v>
      </c>
      <c r="Q39" s="19">
        <v>1</v>
      </c>
      <c r="R39" s="52" t="str">
        <f>VLOOKUP(P39,'Skill Data (Do Not Modify)'!$A$2:$E$149,5,FALSE)</f>
        <v>Stamina</v>
      </c>
      <c r="S39" s="2">
        <f>IF(R39="Yes",0,IFERROR(VLOOKUP(P39,'Skill Data (Do Not Modify)'!$A$2:$E$149,2,FALSE),"N/A"))</f>
        <v>2065.5</v>
      </c>
      <c r="T39" s="2">
        <f t="shared" si="5"/>
        <v>2065.5</v>
      </c>
      <c r="U39" s="47"/>
    </row>
    <row r="40" spans="1:25" x14ac:dyDescent="0.25">
      <c r="A40" s="2" t="s">
        <v>51</v>
      </c>
      <c r="B40" s="19" t="s">
        <v>209</v>
      </c>
      <c r="C40" s="19">
        <v>1</v>
      </c>
      <c r="D40" s="52" t="str">
        <f>VLOOKUP(B40,'Skill Data (Do Not Modify)'!$A$2:$E$149,5,FALSE)</f>
        <v>Stamina</v>
      </c>
      <c r="E40" s="2">
        <f>IF(D40="Yes",0,IFERROR(VLOOKUP(B40,'Skill Data (Do Not Modify)'!$A$2:$E$149,2,FALSE),"N/A"))</f>
        <v>3780</v>
      </c>
      <c r="F40" s="2">
        <f t="shared" si="3"/>
        <v>3780</v>
      </c>
      <c r="G40" s="2"/>
      <c r="H40" s="2" t="s">
        <v>51</v>
      </c>
      <c r="I40" s="19" t="s">
        <v>209</v>
      </c>
      <c r="J40" s="19">
        <v>1</v>
      </c>
      <c r="K40" s="52" t="str">
        <f>VLOOKUP(I40,'Skill Data (Do Not Modify)'!$A$2:$E$149,5,FALSE)</f>
        <v>Stamina</v>
      </c>
      <c r="L40" s="2">
        <f>IF(K40="Yes",0,IFERROR(VLOOKUP(I40,'Skill Data (Do Not Modify)'!$A$2:$E$149,2,FALSE),"N/A"))</f>
        <v>3780</v>
      </c>
      <c r="M40" s="2">
        <f t="shared" si="4"/>
        <v>3780</v>
      </c>
      <c r="N40" s="2"/>
      <c r="O40" s="2" t="s">
        <v>51</v>
      </c>
      <c r="P40" s="19" t="s">
        <v>209</v>
      </c>
      <c r="Q40" s="19">
        <v>1</v>
      </c>
      <c r="R40" s="52" t="str">
        <f>VLOOKUP(P40,'Skill Data (Do Not Modify)'!$A$2:$E$149,5,FALSE)</f>
        <v>Stamina</v>
      </c>
      <c r="S40" s="2">
        <f>IF(R40="Yes",0,IFERROR(VLOOKUP(P40,'Skill Data (Do Not Modify)'!$A$2:$E$149,2,FALSE),"N/A"))</f>
        <v>3780</v>
      </c>
      <c r="T40" s="2">
        <f t="shared" si="5"/>
        <v>3780</v>
      </c>
      <c r="U40" s="47"/>
    </row>
    <row r="41" spans="1:25" x14ac:dyDescent="0.25">
      <c r="A41" s="2" t="s">
        <v>52</v>
      </c>
      <c r="B41" s="19" t="s">
        <v>304</v>
      </c>
      <c r="C41" s="19"/>
      <c r="D41" s="52" t="str">
        <f>VLOOKUP(B41,'Skill Data (Do Not Modify)'!$A$2:$E$149,5,FALSE)</f>
        <v>None</v>
      </c>
      <c r="E41" s="2">
        <f>IF(D41="Yes",0,IFERROR(VLOOKUP(B41,'Skill Data (Do Not Modify)'!$A$2:$E$149,2,FALSE),"N/A"))</f>
        <v>0</v>
      </c>
      <c r="F41" s="2">
        <f t="shared" si="3"/>
        <v>0</v>
      </c>
      <c r="G41" s="2"/>
      <c r="H41" s="2" t="s">
        <v>52</v>
      </c>
      <c r="I41" s="19" t="s">
        <v>304</v>
      </c>
      <c r="J41" s="19"/>
      <c r="K41" s="52" t="str">
        <f>VLOOKUP(I41,'Skill Data (Do Not Modify)'!$A$2:$E$149,5,FALSE)</f>
        <v>None</v>
      </c>
      <c r="L41" s="2">
        <f>IF(K41="Yes",0,IFERROR(VLOOKUP(I41,'Skill Data (Do Not Modify)'!$A$2:$E$149,2,FALSE),"N/A"))</f>
        <v>0</v>
      </c>
      <c r="M41" s="2">
        <f t="shared" si="4"/>
        <v>0</v>
      </c>
      <c r="N41" s="2"/>
      <c r="O41" s="2" t="s">
        <v>52</v>
      </c>
      <c r="P41" s="19" t="s">
        <v>304</v>
      </c>
      <c r="Q41" s="19"/>
      <c r="R41" s="52" t="str">
        <f>VLOOKUP(P41,'Skill Data (Do Not Modify)'!$A$2:$E$149,5,FALSE)</f>
        <v>None</v>
      </c>
      <c r="S41" s="2">
        <f>IF(R41="Yes",0,IFERROR(VLOOKUP(P41,'Skill Data (Do Not Modify)'!$A$2:$E$149,2,FALSE),"N/A"))</f>
        <v>0</v>
      </c>
      <c r="T41" s="2">
        <f t="shared" si="5"/>
        <v>0</v>
      </c>
      <c r="U41" s="47"/>
    </row>
    <row r="42" spans="1:25" x14ac:dyDescent="0.25">
      <c r="A42" s="2" t="s">
        <v>53</v>
      </c>
      <c r="B42" s="19" t="s">
        <v>304</v>
      </c>
      <c r="C42" s="19"/>
      <c r="D42" s="52" t="str">
        <f>VLOOKUP(B42,'Skill Data (Do Not Modify)'!$A$2:$E$149,5,FALSE)</f>
        <v>None</v>
      </c>
      <c r="E42" s="2">
        <f>IF(D42="Yes",0,IFERROR(VLOOKUP(B42,'Skill Data (Do Not Modify)'!$A$2:$E$149,2,FALSE),"N/A"))</f>
        <v>0</v>
      </c>
      <c r="F42" s="2">
        <f>E42*C42</f>
        <v>0</v>
      </c>
      <c r="G42" s="2"/>
      <c r="H42" s="2" t="s">
        <v>53</v>
      </c>
      <c r="I42" s="19" t="s">
        <v>304</v>
      </c>
      <c r="J42" s="19"/>
      <c r="K42" s="52" t="str">
        <f>VLOOKUP(I42,'Skill Data (Do Not Modify)'!$A$2:$E$149,5,FALSE)</f>
        <v>None</v>
      </c>
      <c r="L42" s="2">
        <f>IF(K42="Yes",0,IFERROR(VLOOKUP(I42,'Skill Data (Do Not Modify)'!$A$2:$E$149,2,FALSE),"N/A"))</f>
        <v>0</v>
      </c>
      <c r="M42" s="2">
        <f t="shared" si="4"/>
        <v>0</v>
      </c>
      <c r="N42" s="2"/>
      <c r="O42" s="2" t="s">
        <v>53</v>
      </c>
      <c r="P42" s="19" t="s">
        <v>304</v>
      </c>
      <c r="Q42" s="19"/>
      <c r="R42" s="52" t="str">
        <f>VLOOKUP(P42,'Skill Data (Do Not Modify)'!$A$2:$E$149,5,FALSE)</f>
        <v>None</v>
      </c>
      <c r="S42" s="2">
        <f>IF(R42="Yes",0,IFERROR(VLOOKUP(P42,'Skill Data (Do Not Modify)'!$A$2:$E$149,2,FALSE),"N/A"))</f>
        <v>0</v>
      </c>
      <c r="T42" s="2">
        <f t="shared" si="5"/>
        <v>0</v>
      </c>
      <c r="U42" s="47"/>
    </row>
    <row r="43" spans="1:25" x14ac:dyDescent="0.25">
      <c r="A43" s="2" t="s">
        <v>54</v>
      </c>
      <c r="B43" s="19" t="s">
        <v>304</v>
      </c>
      <c r="C43" s="19"/>
      <c r="D43" s="52" t="str">
        <f>VLOOKUP(B43,'Skill Data (Do Not Modify)'!$A$2:$E$149,5,FALSE)</f>
        <v>None</v>
      </c>
      <c r="E43" s="2">
        <f>IF(D43="Yes",0,IFERROR(VLOOKUP(B43,'Skill Data (Do Not Modify)'!$A$2:$E$149,2,FALSE),"N/A"))</f>
        <v>0</v>
      </c>
      <c r="F43" s="2">
        <f t="shared" si="3"/>
        <v>0</v>
      </c>
      <c r="G43" s="2"/>
      <c r="H43" s="2" t="s">
        <v>54</v>
      </c>
      <c r="I43" s="19" t="s">
        <v>304</v>
      </c>
      <c r="J43" s="19"/>
      <c r="K43" s="52" t="str">
        <f>VLOOKUP(I43,'Skill Data (Do Not Modify)'!$A$2:$E$149,5,FALSE)</f>
        <v>None</v>
      </c>
      <c r="L43" s="2">
        <f>IF(K43="Yes",0,IFERROR(VLOOKUP(I43,'Skill Data (Do Not Modify)'!$A$2:$E$149,2,FALSE),"N/A"))</f>
        <v>0</v>
      </c>
      <c r="M43" s="2">
        <f t="shared" si="4"/>
        <v>0</v>
      </c>
      <c r="N43" s="2"/>
      <c r="O43" s="2" t="s">
        <v>54</v>
      </c>
      <c r="P43" s="19" t="s">
        <v>304</v>
      </c>
      <c r="Q43" s="19"/>
      <c r="R43" s="52" t="str">
        <f>VLOOKUP(P43,'Skill Data (Do Not Modify)'!$A$2:$E$149,5,FALSE)</f>
        <v>None</v>
      </c>
      <c r="S43" s="2">
        <f>IF(R43="Yes",0,IFERROR(VLOOKUP(P43,'Skill Data (Do Not Modify)'!$A$2:$E$149,2,FALSE),"N/A"))</f>
        <v>0</v>
      </c>
      <c r="T43" s="2">
        <f t="shared" si="5"/>
        <v>0</v>
      </c>
      <c r="U43" s="47"/>
    </row>
    <row r="44" spans="1:25" x14ac:dyDescent="0.25">
      <c r="A44" s="2" t="s">
        <v>55</v>
      </c>
      <c r="B44" s="19" t="s">
        <v>304</v>
      </c>
      <c r="C44" s="19"/>
      <c r="D44" s="52" t="str">
        <f>VLOOKUP(B44,'Skill Data (Do Not Modify)'!$A$2:$E$149,5,FALSE)</f>
        <v>None</v>
      </c>
      <c r="E44" s="2">
        <f>IF(D44="Yes",0,IFERROR(VLOOKUP(B44,'Skill Data (Do Not Modify)'!$A$2:$E$149,2,FALSE),"N/A"))</f>
        <v>0</v>
      </c>
      <c r="F44" s="2">
        <f t="shared" si="3"/>
        <v>0</v>
      </c>
      <c r="G44" s="2"/>
      <c r="H44" s="2" t="s">
        <v>55</v>
      </c>
      <c r="I44" s="19" t="s">
        <v>304</v>
      </c>
      <c r="J44" s="19"/>
      <c r="K44" s="52" t="str">
        <f>VLOOKUP(I44,'Skill Data (Do Not Modify)'!$A$2:$E$149,5,FALSE)</f>
        <v>None</v>
      </c>
      <c r="L44" s="2">
        <f>IF(K44="Yes",0,IFERROR(VLOOKUP(I44,'Skill Data (Do Not Modify)'!$A$2:$E$149,2,FALSE),"N/A"))</f>
        <v>0</v>
      </c>
      <c r="M44" s="2">
        <f t="shared" si="4"/>
        <v>0</v>
      </c>
      <c r="N44" s="2"/>
      <c r="O44" s="2" t="s">
        <v>55</v>
      </c>
      <c r="P44" s="19" t="s">
        <v>304</v>
      </c>
      <c r="Q44" s="19"/>
      <c r="R44" s="52" t="str">
        <f>VLOOKUP(P44,'Skill Data (Do Not Modify)'!$A$2:$E$149,5,FALSE)</f>
        <v>None</v>
      </c>
      <c r="S44" s="2">
        <f>IF(R44="Yes",0,IFERROR(VLOOKUP(P44,'Skill Data (Do Not Modify)'!$A$2:$E$149,2,FALSE),"N/A"))</f>
        <v>0</v>
      </c>
      <c r="T44" s="2">
        <f t="shared" si="5"/>
        <v>0</v>
      </c>
      <c r="U44" s="47"/>
    </row>
    <row r="45" spans="1:25" x14ac:dyDescent="0.25">
      <c r="A45" s="2" t="s">
        <v>56</v>
      </c>
      <c r="B45" s="19" t="s">
        <v>304</v>
      </c>
      <c r="C45" s="19"/>
      <c r="D45" s="52" t="str">
        <f>VLOOKUP(B45,'Skill Data (Do Not Modify)'!$A$2:$E$149,5,FALSE)</f>
        <v>None</v>
      </c>
      <c r="E45" s="2">
        <f>IF(D45="Yes",0,IFERROR(VLOOKUP(B45,'Skill Data (Do Not Modify)'!$A$2:$E$149,2,FALSE),"N/A"))</f>
        <v>0</v>
      </c>
      <c r="F45" s="2">
        <f t="shared" si="3"/>
        <v>0</v>
      </c>
      <c r="G45" s="2"/>
      <c r="H45" s="2" t="s">
        <v>56</v>
      </c>
      <c r="I45" s="19" t="s">
        <v>304</v>
      </c>
      <c r="J45" s="19"/>
      <c r="K45" s="52" t="str">
        <f>VLOOKUP(I45,'Skill Data (Do Not Modify)'!$A$2:$E$149,5,FALSE)</f>
        <v>None</v>
      </c>
      <c r="L45" s="2">
        <f>IF(K45="Yes",0,IFERROR(VLOOKUP(I45,'Skill Data (Do Not Modify)'!$A$2:$E$149,2,FALSE),"N/A"))</f>
        <v>0</v>
      </c>
      <c r="M45" s="2">
        <f t="shared" si="4"/>
        <v>0</v>
      </c>
      <c r="N45" s="2"/>
      <c r="O45" s="2" t="s">
        <v>56</v>
      </c>
      <c r="P45" s="19" t="s">
        <v>304</v>
      </c>
      <c r="Q45" s="19"/>
      <c r="R45" s="52" t="str">
        <f>VLOOKUP(P45,'Skill Data (Do Not Modify)'!$A$2:$E$149,5,FALSE)</f>
        <v>None</v>
      </c>
      <c r="S45" s="2">
        <f>IF(R45="Yes",0,IFERROR(VLOOKUP(P45,'Skill Data (Do Not Modify)'!$A$2:$E$149,2,FALSE),"N/A"))</f>
        <v>0</v>
      </c>
      <c r="T45" s="2">
        <f t="shared" si="5"/>
        <v>0</v>
      </c>
      <c r="U45" s="47"/>
    </row>
    <row r="46" spans="1:25" x14ac:dyDescent="0.25">
      <c r="A46" s="2" t="s">
        <v>57</v>
      </c>
      <c r="B46" s="19" t="s">
        <v>304</v>
      </c>
      <c r="C46" s="19"/>
      <c r="D46" s="52" t="str">
        <f>VLOOKUP(B46,'Skill Data (Do Not Modify)'!$A$2:$E$149,5,FALSE)</f>
        <v>None</v>
      </c>
      <c r="E46" s="2">
        <f>IF(D46="Yes",0,IFERROR(VLOOKUP(B46,'Skill Data (Do Not Modify)'!$A$2:$E$149,2,FALSE),"N/A"))</f>
        <v>0</v>
      </c>
      <c r="F46" s="2">
        <f t="shared" si="3"/>
        <v>0</v>
      </c>
      <c r="G46" s="2"/>
      <c r="H46" s="2" t="s">
        <v>57</v>
      </c>
      <c r="I46" s="19" t="s">
        <v>304</v>
      </c>
      <c r="J46" s="19"/>
      <c r="K46" s="52" t="str">
        <f>VLOOKUP(I46,'Skill Data (Do Not Modify)'!$A$2:$E$149,5,FALSE)</f>
        <v>None</v>
      </c>
      <c r="L46" s="2">
        <f>IF(K46="Yes",0,IFERROR(VLOOKUP(I46,'Skill Data (Do Not Modify)'!$A$2:$E$149,2,FALSE),"N/A"))</f>
        <v>0</v>
      </c>
      <c r="M46" s="2">
        <f t="shared" si="4"/>
        <v>0</v>
      </c>
      <c r="N46" s="2"/>
      <c r="O46" s="2" t="s">
        <v>57</v>
      </c>
      <c r="P46" s="19" t="s">
        <v>304</v>
      </c>
      <c r="Q46" s="19"/>
      <c r="R46" s="52" t="str">
        <f>VLOOKUP(P46,'Skill Data (Do Not Modify)'!$A$2:$E$149,5,FALSE)</f>
        <v>None</v>
      </c>
      <c r="S46" s="2">
        <f>IF(R46="Yes",0,IFERROR(VLOOKUP(P46,'Skill Data (Do Not Modify)'!$A$2:$E$149,2,FALSE),"N/A"))</f>
        <v>0</v>
      </c>
      <c r="T46" s="2">
        <f t="shared" si="5"/>
        <v>0</v>
      </c>
      <c r="U46" s="47"/>
    </row>
    <row r="47" spans="1:25" x14ac:dyDescent="0.25">
      <c r="A47" s="2" t="s">
        <v>61</v>
      </c>
      <c r="B47" s="19" t="s">
        <v>304</v>
      </c>
      <c r="C47" s="19"/>
      <c r="D47" s="52" t="str">
        <f>VLOOKUP(B47,'Skill Data (Do Not Modify)'!$A$2:$E$149,5,FALSE)</f>
        <v>None</v>
      </c>
      <c r="E47" s="2">
        <f>IF(D47="Yes",0,IFERROR(VLOOKUP(B47,'Skill Data (Do Not Modify)'!$A$2:$E$149,2,FALSE),"N/A"))</f>
        <v>0</v>
      </c>
      <c r="F47" s="2">
        <f t="shared" si="3"/>
        <v>0</v>
      </c>
      <c r="G47" s="2"/>
      <c r="H47" s="2" t="s">
        <v>61</v>
      </c>
      <c r="I47" s="19" t="s">
        <v>304</v>
      </c>
      <c r="J47" s="19"/>
      <c r="K47" s="52" t="str">
        <f>VLOOKUP(I47,'Skill Data (Do Not Modify)'!$A$2:$E$149,5,FALSE)</f>
        <v>None</v>
      </c>
      <c r="L47" s="2">
        <f>IF(K47="Yes",0,IFERROR(VLOOKUP(I47,'Skill Data (Do Not Modify)'!$A$2:$E$149,2,FALSE),"N/A"))</f>
        <v>0</v>
      </c>
      <c r="M47" s="2">
        <f t="shared" si="4"/>
        <v>0</v>
      </c>
      <c r="N47" s="2"/>
      <c r="O47" s="2" t="s">
        <v>61</v>
      </c>
      <c r="P47" s="19" t="s">
        <v>304</v>
      </c>
      <c r="Q47" s="19"/>
      <c r="R47" s="52" t="str">
        <f>VLOOKUP(P47,'Skill Data (Do Not Modify)'!$A$2:$E$149,5,FALSE)</f>
        <v>None</v>
      </c>
      <c r="S47" s="2">
        <f>IF(R47="Yes",0,IFERROR(VLOOKUP(P47,'Skill Data (Do Not Modify)'!$A$2:$E$149,2,FALSE),"N/A"))</f>
        <v>0</v>
      </c>
      <c r="T47" s="2">
        <f t="shared" si="5"/>
        <v>0</v>
      </c>
      <c r="U47" s="47"/>
    </row>
    <row r="48" spans="1:25" x14ac:dyDescent="0.25">
      <c r="A48" s="2" t="s">
        <v>311</v>
      </c>
      <c r="B48" s="19" t="s">
        <v>304</v>
      </c>
      <c r="C48" s="19"/>
      <c r="D48" s="52" t="str">
        <f>VLOOKUP(B48,'Skill Data (Do Not Modify)'!$A$2:$E$149,5,FALSE)</f>
        <v>None</v>
      </c>
      <c r="E48" s="2">
        <f>IF(D48="Yes",0,IFERROR(VLOOKUP(B48,'Skill Data (Do Not Modify)'!$A$2:$E$149,2,FALSE),"N/A"))</f>
        <v>0</v>
      </c>
      <c r="F48" s="2">
        <f t="shared" si="3"/>
        <v>0</v>
      </c>
      <c r="G48" s="2"/>
      <c r="H48" s="2" t="s">
        <v>311</v>
      </c>
      <c r="I48" s="19" t="s">
        <v>304</v>
      </c>
      <c r="J48" s="19"/>
      <c r="K48" s="52" t="str">
        <f>VLOOKUP(I48,'Skill Data (Do Not Modify)'!$A$2:$E$149,5,FALSE)</f>
        <v>None</v>
      </c>
      <c r="L48" s="2">
        <f>IF(K48="Yes",0,IFERROR(VLOOKUP(I48,'Skill Data (Do Not Modify)'!$A$2:$E$149,2,FALSE),"N/A"))</f>
        <v>0</v>
      </c>
      <c r="M48" s="2">
        <f t="shared" si="4"/>
        <v>0</v>
      </c>
      <c r="N48" s="2"/>
      <c r="O48" s="2" t="s">
        <v>311</v>
      </c>
      <c r="P48" s="19" t="s">
        <v>304</v>
      </c>
      <c r="Q48" s="19"/>
      <c r="R48" s="52" t="str">
        <f>VLOOKUP(P48,'Skill Data (Do Not Modify)'!$A$2:$E$149,5,FALSE)</f>
        <v>None</v>
      </c>
      <c r="S48" s="2">
        <f>IF(R48="Yes",0,IFERROR(VLOOKUP(P48,'Skill Data (Do Not Modify)'!$A$2:$E$149,2,FALSE),"N/A"))</f>
        <v>0</v>
      </c>
      <c r="T48" s="2">
        <f t="shared" si="5"/>
        <v>0</v>
      </c>
      <c r="U48" s="47"/>
    </row>
    <row r="49" spans="1:21" x14ac:dyDescent="0.25">
      <c r="A49" s="2" t="s">
        <v>312</v>
      </c>
      <c r="B49" s="19" t="s">
        <v>304</v>
      </c>
      <c r="C49" s="19"/>
      <c r="D49" s="52" t="str">
        <f>VLOOKUP(B49,'Skill Data (Do Not Modify)'!$A$2:$E$149,5,FALSE)</f>
        <v>None</v>
      </c>
      <c r="E49" s="2">
        <f>IF(D49="Yes",0,IFERROR(VLOOKUP(B49,'Skill Data (Do Not Modify)'!$A$2:$E$149,2,FALSE),"N/A"))</f>
        <v>0</v>
      </c>
      <c r="F49" s="2">
        <f t="shared" si="3"/>
        <v>0</v>
      </c>
      <c r="G49" s="2"/>
      <c r="H49" s="2" t="s">
        <v>312</v>
      </c>
      <c r="I49" s="19" t="s">
        <v>304</v>
      </c>
      <c r="J49" s="19"/>
      <c r="K49" s="52" t="str">
        <f>VLOOKUP(I49,'Skill Data (Do Not Modify)'!$A$2:$E$149,5,FALSE)</f>
        <v>None</v>
      </c>
      <c r="L49" s="2">
        <f>IF(K49="Yes",0,IFERROR(VLOOKUP(I49,'Skill Data (Do Not Modify)'!$A$2:$E$149,2,FALSE),"N/A"))</f>
        <v>0</v>
      </c>
      <c r="M49" s="2">
        <f t="shared" si="4"/>
        <v>0</v>
      </c>
      <c r="N49" s="2"/>
      <c r="O49" s="2" t="s">
        <v>312</v>
      </c>
      <c r="P49" s="19" t="s">
        <v>304</v>
      </c>
      <c r="Q49" s="19"/>
      <c r="R49" s="52" t="str">
        <f>VLOOKUP(P49,'Skill Data (Do Not Modify)'!$A$2:$E$149,5,FALSE)</f>
        <v>None</v>
      </c>
      <c r="S49" s="2">
        <f>IF(R49="Yes",0,IFERROR(VLOOKUP(P49,'Skill Data (Do Not Modify)'!$A$2:$E$149,2,FALSE),"N/A"))</f>
        <v>0</v>
      </c>
      <c r="T49" s="2">
        <f t="shared" si="5"/>
        <v>0</v>
      </c>
      <c r="U49" s="47"/>
    </row>
    <row r="50" spans="1:21" x14ac:dyDescent="0.25">
      <c r="A50" s="2" t="s">
        <v>313</v>
      </c>
      <c r="B50" s="19" t="s">
        <v>304</v>
      </c>
      <c r="C50" s="19"/>
      <c r="D50" s="52" t="str">
        <f>VLOOKUP(B50,'Skill Data (Do Not Modify)'!$A$2:$E$149,5,FALSE)</f>
        <v>None</v>
      </c>
      <c r="E50" s="2">
        <f>IF(D50="Yes",0,IFERROR(VLOOKUP(B50,'Skill Data (Do Not Modify)'!$A$2:$E$149,2,FALSE),"N/A"))</f>
        <v>0</v>
      </c>
      <c r="F50" s="2">
        <f t="shared" si="3"/>
        <v>0</v>
      </c>
      <c r="G50" s="2"/>
      <c r="H50" s="2" t="s">
        <v>313</v>
      </c>
      <c r="I50" s="19" t="s">
        <v>304</v>
      </c>
      <c r="J50" s="19"/>
      <c r="K50" s="52" t="str">
        <f>VLOOKUP(I50,'Skill Data (Do Not Modify)'!$A$2:$E$149,5,FALSE)</f>
        <v>None</v>
      </c>
      <c r="L50" s="2">
        <f>IF(K50="Yes",0,IFERROR(VLOOKUP(I50,'Skill Data (Do Not Modify)'!$A$2:$E$149,2,FALSE),"N/A"))</f>
        <v>0</v>
      </c>
      <c r="M50" s="2">
        <f t="shared" si="4"/>
        <v>0</v>
      </c>
      <c r="N50" s="2"/>
      <c r="O50" s="2" t="s">
        <v>313</v>
      </c>
      <c r="P50" s="19" t="s">
        <v>304</v>
      </c>
      <c r="Q50" s="19"/>
      <c r="R50" s="52" t="str">
        <f>VLOOKUP(P50,'Skill Data (Do Not Modify)'!$A$2:$E$149,5,FALSE)</f>
        <v>None</v>
      </c>
      <c r="S50" s="2">
        <f>IF(R50="Yes",0,IFERROR(VLOOKUP(P50,'Skill Data (Do Not Modify)'!$A$2:$E$149,2,FALSE),"N/A"))</f>
        <v>0</v>
      </c>
      <c r="T50" s="2">
        <f t="shared" si="5"/>
        <v>0</v>
      </c>
      <c r="U50" s="47"/>
    </row>
    <row r="51" spans="1:21" x14ac:dyDescent="0.25">
      <c r="A51" s="2" t="s">
        <v>314</v>
      </c>
      <c r="B51" s="19" t="s">
        <v>304</v>
      </c>
      <c r="C51" s="19"/>
      <c r="D51" s="52" t="str">
        <f>VLOOKUP(B51,'Skill Data (Do Not Modify)'!$A$2:$E$149,5,FALSE)</f>
        <v>None</v>
      </c>
      <c r="E51" s="2">
        <f>IF(D51="Yes",0,IFERROR(VLOOKUP(B51,'Skill Data (Do Not Modify)'!$A$2:$E$149,2,FALSE),"N/A"))</f>
        <v>0</v>
      </c>
      <c r="F51" s="2">
        <f t="shared" si="3"/>
        <v>0</v>
      </c>
      <c r="G51" s="2"/>
      <c r="H51" s="2" t="s">
        <v>314</v>
      </c>
      <c r="I51" s="19" t="s">
        <v>304</v>
      </c>
      <c r="J51" s="19"/>
      <c r="K51" s="52" t="str">
        <f>VLOOKUP(I51,'Skill Data (Do Not Modify)'!$A$2:$E$149,5,FALSE)</f>
        <v>None</v>
      </c>
      <c r="L51" s="2">
        <f>IF(K51="Yes",0,IFERROR(VLOOKUP(I51,'Skill Data (Do Not Modify)'!$A$2:$E$149,2,FALSE),"N/A"))</f>
        <v>0</v>
      </c>
      <c r="M51" s="2">
        <f t="shared" si="4"/>
        <v>0</v>
      </c>
      <c r="N51" s="2"/>
      <c r="O51" s="2" t="s">
        <v>314</v>
      </c>
      <c r="P51" s="19" t="s">
        <v>304</v>
      </c>
      <c r="Q51" s="19"/>
      <c r="R51" s="52" t="str">
        <f>VLOOKUP(P51,'Skill Data (Do Not Modify)'!$A$2:$E$149,5,FALSE)</f>
        <v>None</v>
      </c>
      <c r="S51" s="2">
        <f>IF(R51="Yes",0,IFERROR(VLOOKUP(P51,'Skill Data (Do Not Modify)'!$A$2:$E$149,2,FALSE),"N/A"))</f>
        <v>0</v>
      </c>
      <c r="T51" s="2">
        <f t="shared" si="5"/>
        <v>0</v>
      </c>
      <c r="U51" s="47"/>
    </row>
    <row r="52" spans="1:21" x14ac:dyDescent="0.25">
      <c r="A52" s="2" t="s">
        <v>315</v>
      </c>
      <c r="B52" s="19" t="s">
        <v>304</v>
      </c>
      <c r="C52" s="19"/>
      <c r="D52" s="52" t="str">
        <f>VLOOKUP(B52,'Skill Data (Do Not Modify)'!$A$2:$E$149,5,FALSE)</f>
        <v>None</v>
      </c>
      <c r="E52" s="2">
        <f>IF(D52="Yes",0,IFERROR(VLOOKUP(B52,'Skill Data (Do Not Modify)'!$A$2:$E$149,2,FALSE),"N/A"))</f>
        <v>0</v>
      </c>
      <c r="F52" s="2">
        <f t="shared" si="3"/>
        <v>0</v>
      </c>
      <c r="G52" s="2"/>
      <c r="H52" s="2" t="s">
        <v>315</v>
      </c>
      <c r="I52" s="19" t="s">
        <v>304</v>
      </c>
      <c r="J52" s="19"/>
      <c r="K52" s="52" t="str">
        <f>VLOOKUP(I52,'Skill Data (Do Not Modify)'!$A$2:$E$149,5,FALSE)</f>
        <v>None</v>
      </c>
      <c r="L52" s="2">
        <f>IF(K52="Yes",0,IFERROR(VLOOKUP(I52,'Skill Data (Do Not Modify)'!$A$2:$E$149,2,FALSE),"N/A"))</f>
        <v>0</v>
      </c>
      <c r="M52" s="2">
        <f t="shared" si="4"/>
        <v>0</v>
      </c>
      <c r="N52" s="2"/>
      <c r="O52" s="2" t="s">
        <v>315</v>
      </c>
      <c r="P52" s="19" t="s">
        <v>304</v>
      </c>
      <c r="Q52" s="19"/>
      <c r="R52" s="52" t="str">
        <f>VLOOKUP(P52,'Skill Data (Do Not Modify)'!$A$2:$E$149,5,FALSE)</f>
        <v>None</v>
      </c>
      <c r="S52" s="2">
        <f>IF(R52="Yes",0,IFERROR(VLOOKUP(P52,'Skill Data (Do Not Modify)'!$A$2:$E$149,2,FALSE),"N/A"))</f>
        <v>0</v>
      </c>
      <c r="T52" s="2">
        <f t="shared" si="5"/>
        <v>0</v>
      </c>
      <c r="U52" s="47"/>
    </row>
    <row r="53" spans="1:21" x14ac:dyDescent="0.25">
      <c r="A53" s="2" t="s">
        <v>63</v>
      </c>
      <c r="B53" s="2"/>
      <c r="C53" s="2">
        <f>SUM(C33:C52)</f>
        <v>11</v>
      </c>
      <c r="D53" s="2"/>
      <c r="E53" s="2">
        <f>F53</f>
        <v>2344.1208333333329</v>
      </c>
      <c r="F53" s="2">
        <f>SUMIF(D33:D52,D33,F33:F52)/B31</f>
        <v>2344.1208333333329</v>
      </c>
      <c r="G53" s="2"/>
      <c r="H53" s="2" t="s">
        <v>63</v>
      </c>
      <c r="I53" s="2"/>
      <c r="J53" s="2">
        <f>SUM(J33:J52)</f>
        <v>11</v>
      </c>
      <c r="K53" s="2"/>
      <c r="L53" s="2">
        <f>M53</f>
        <v>2344.1208333333329</v>
      </c>
      <c r="M53" s="2">
        <f>SUMIF(K33:K52,K33,M33:M52)/I31</f>
        <v>2344.1208333333329</v>
      </c>
      <c r="N53" s="2"/>
      <c r="O53" s="2" t="s">
        <v>63</v>
      </c>
      <c r="P53" s="2"/>
      <c r="Q53" s="2">
        <f>SUM(Q33:Q52)</f>
        <v>11</v>
      </c>
      <c r="R53" s="2"/>
      <c r="S53" s="2">
        <f>T53</f>
        <v>2344.1208333333329</v>
      </c>
      <c r="T53" s="2">
        <f>SUMIF(R33:R52,R33,T33:T52)/P31</f>
        <v>2344.1208333333329</v>
      </c>
      <c r="U53" s="47"/>
    </row>
    <row r="54" spans="1:21" x14ac:dyDescent="0.25">
      <c r="A54" s="2" t="s">
        <v>83</v>
      </c>
      <c r="B54" s="19" t="s">
        <v>92</v>
      </c>
      <c r="C54" s="19"/>
      <c r="D54" s="2"/>
      <c r="E54" s="19">
        <v>175</v>
      </c>
      <c r="G54" s="2"/>
      <c r="H54" s="2" t="s">
        <v>83</v>
      </c>
      <c r="I54" s="19" t="s">
        <v>92</v>
      </c>
      <c r="J54" s="19"/>
      <c r="K54" s="2"/>
      <c r="L54" s="19">
        <v>175</v>
      </c>
      <c r="N54" s="2"/>
      <c r="O54" s="2" t="s">
        <v>83</v>
      </c>
      <c r="P54" s="19" t="s">
        <v>92</v>
      </c>
      <c r="Q54" s="19"/>
      <c r="R54" s="2"/>
      <c r="S54" s="19">
        <v>175</v>
      </c>
      <c r="U54" s="47"/>
    </row>
    <row r="55" spans="1:21" x14ac:dyDescent="0.25">
      <c r="A55" s="2" t="s">
        <v>82</v>
      </c>
      <c r="B55" s="19"/>
      <c r="C55" s="19">
        <v>4</v>
      </c>
      <c r="D55" s="2"/>
      <c r="E55" s="19">
        <f>C55</f>
        <v>4</v>
      </c>
      <c r="G55" s="2"/>
      <c r="H55" s="2" t="s">
        <v>82</v>
      </c>
      <c r="I55" s="19"/>
      <c r="J55" s="19">
        <v>4</v>
      </c>
      <c r="K55" s="2"/>
      <c r="L55" s="19">
        <f>J55</f>
        <v>4</v>
      </c>
      <c r="N55" s="2"/>
      <c r="O55" s="2" t="s">
        <v>82</v>
      </c>
      <c r="P55" s="19"/>
      <c r="Q55" s="19">
        <v>4</v>
      </c>
      <c r="R55" s="2"/>
      <c r="S55" s="19">
        <f>Q55</f>
        <v>4</v>
      </c>
      <c r="U55" s="47"/>
    </row>
    <row r="56" spans="1:21" x14ac:dyDescent="0.25">
      <c r="A56" s="2"/>
      <c r="B56" s="2"/>
      <c r="C56" s="2"/>
      <c r="D56" s="2"/>
      <c r="E56" s="2"/>
      <c r="G56" s="2"/>
      <c r="H56" s="2"/>
      <c r="I56" s="2"/>
      <c r="J56" s="2"/>
      <c r="K56" s="2"/>
      <c r="L56" s="2"/>
      <c r="N56" s="2"/>
      <c r="O56" s="2"/>
      <c r="P56" s="2"/>
      <c r="Q56" s="2"/>
      <c r="R56" s="2"/>
      <c r="S56" s="2"/>
      <c r="U56" s="47"/>
    </row>
    <row r="57" spans="1:21" x14ac:dyDescent="0.25">
      <c r="A57" s="2" t="s">
        <v>64</v>
      </c>
      <c r="B57" s="2"/>
      <c r="C57" s="2"/>
      <c r="D57" s="2"/>
      <c r="E57" s="3" t="s">
        <v>65</v>
      </c>
      <c r="G57" s="2"/>
      <c r="H57" s="2" t="s">
        <v>64</v>
      </c>
      <c r="I57" s="2"/>
      <c r="J57" s="2"/>
      <c r="K57" s="2"/>
      <c r="L57" s="3" t="s">
        <v>65</v>
      </c>
      <c r="N57" s="2"/>
      <c r="O57" s="2" t="s">
        <v>64</v>
      </c>
      <c r="P57" s="2"/>
      <c r="Q57" s="2"/>
      <c r="R57" s="2"/>
      <c r="S57" s="3" t="s">
        <v>65</v>
      </c>
      <c r="U57" s="47"/>
    </row>
  </sheetData>
  <hyperlinks>
    <hyperlink ref="E28" r:id="rId1"/>
    <hyperlink ref="L28" r:id="rId2"/>
    <hyperlink ref="S28" r:id="rId3"/>
    <hyperlink ref="E57" r:id="rId4"/>
    <hyperlink ref="L57" r:id="rId5"/>
    <hyperlink ref="S57" r:id="rId6"/>
  </hyperlinks>
  <pageMargins left="0.7" right="0.7" top="0.78740157499999996" bottom="0.78740157499999996" header="0.3" footer="0.3"/>
  <drawing r:id="rId7"/>
  <legacyDrawing r:id="rId8"/>
  <mc:AlternateContent xmlns:mc="http://schemas.openxmlformats.org/markup-compatibility/2006">
    <mc:Choice Requires="x14">
      <controls>
        <mc:AlternateContent xmlns:mc="http://schemas.openxmlformats.org/markup-compatibility/2006">
          <mc:Choice Requires="x14">
            <control shapeId="1046" r:id="rId9" name="Button 22">
              <controlPr defaultSize="0" print="0" autoFill="0" autoPict="0" macro="[0]!CopyMagSetup1">
                <anchor moveWithCells="1" sizeWithCells="1">
                  <from>
                    <xdr:col>2</xdr:col>
                    <xdr:colOff>190500</xdr:colOff>
                    <xdr:row>0</xdr:row>
                    <xdr:rowOff>161925</xdr:rowOff>
                  </from>
                  <to>
                    <xdr:col>3</xdr:col>
                    <xdr:colOff>1295400</xdr:colOff>
                    <xdr:row>1</xdr:row>
                    <xdr:rowOff>171450</xdr:rowOff>
                  </to>
                </anchor>
              </controlPr>
            </control>
          </mc:Choice>
        </mc:AlternateContent>
        <mc:AlternateContent xmlns:mc="http://schemas.openxmlformats.org/markup-compatibility/2006">
          <mc:Choice Requires="x14">
            <control shapeId="1048" r:id="rId10" name="Button 24">
              <controlPr defaultSize="0" print="0" autoFill="0" autoPict="0" macro="[0]!CopyMagSetup2">
                <anchor moveWithCells="1" sizeWithCells="1">
                  <from>
                    <xdr:col>9</xdr:col>
                    <xdr:colOff>190500</xdr:colOff>
                    <xdr:row>0</xdr:row>
                    <xdr:rowOff>161925</xdr:rowOff>
                  </from>
                  <to>
                    <xdr:col>11</xdr:col>
                    <xdr:colOff>285750</xdr:colOff>
                    <xdr:row>1</xdr:row>
                    <xdr:rowOff>171450</xdr:rowOff>
                  </to>
                </anchor>
              </controlPr>
            </control>
          </mc:Choice>
        </mc:AlternateContent>
        <mc:AlternateContent xmlns:mc="http://schemas.openxmlformats.org/markup-compatibility/2006">
          <mc:Choice Requires="x14">
            <control shapeId="1049" r:id="rId11" name="Button 25">
              <controlPr defaultSize="0" print="0" autoFill="0" autoPict="0" macro="[0]!CopyMagSetup3">
                <anchor moveWithCells="1" sizeWithCells="1">
                  <from>
                    <xdr:col>16</xdr:col>
                    <xdr:colOff>190500</xdr:colOff>
                    <xdr:row>0</xdr:row>
                    <xdr:rowOff>161925</xdr:rowOff>
                  </from>
                  <to>
                    <xdr:col>17</xdr:col>
                    <xdr:colOff>1295400</xdr:colOff>
                    <xdr:row>1</xdr:row>
                    <xdr:rowOff>171450</xdr:rowOff>
                  </to>
                </anchor>
              </controlPr>
            </control>
          </mc:Choice>
        </mc:AlternateContent>
        <mc:AlternateContent xmlns:mc="http://schemas.openxmlformats.org/markup-compatibility/2006">
          <mc:Choice Requires="x14">
            <control shapeId="1052" r:id="rId12" name="Button 28">
              <controlPr defaultSize="0" print="0" autoFill="0" autoPict="0" macro="[0]!CopyStamSetup1">
                <anchor moveWithCells="1" sizeWithCells="1">
                  <from>
                    <xdr:col>2</xdr:col>
                    <xdr:colOff>190500</xdr:colOff>
                    <xdr:row>29</xdr:row>
                    <xdr:rowOff>161925</xdr:rowOff>
                  </from>
                  <to>
                    <xdr:col>3</xdr:col>
                    <xdr:colOff>1295400</xdr:colOff>
                    <xdr:row>30</xdr:row>
                    <xdr:rowOff>171450</xdr:rowOff>
                  </to>
                </anchor>
              </controlPr>
            </control>
          </mc:Choice>
        </mc:AlternateContent>
        <mc:AlternateContent xmlns:mc="http://schemas.openxmlformats.org/markup-compatibility/2006">
          <mc:Choice Requires="x14">
            <control shapeId="1053" r:id="rId13" name="Button 29">
              <controlPr defaultSize="0" print="0" autoFill="0" autoPict="0" macro="[0]!CopyStamSetup2">
                <anchor moveWithCells="1" sizeWithCells="1">
                  <from>
                    <xdr:col>9</xdr:col>
                    <xdr:colOff>190500</xdr:colOff>
                    <xdr:row>29</xdr:row>
                    <xdr:rowOff>161925</xdr:rowOff>
                  </from>
                  <to>
                    <xdr:col>11</xdr:col>
                    <xdr:colOff>285750</xdr:colOff>
                    <xdr:row>30</xdr:row>
                    <xdr:rowOff>171450</xdr:rowOff>
                  </to>
                </anchor>
              </controlPr>
            </control>
          </mc:Choice>
        </mc:AlternateContent>
        <mc:AlternateContent xmlns:mc="http://schemas.openxmlformats.org/markup-compatibility/2006">
          <mc:Choice Requires="x14">
            <control shapeId="1054" r:id="rId14" name="Button 30">
              <controlPr defaultSize="0" print="0" autoFill="0" autoPict="0" macro="[0]!CopyStamSetup3">
                <anchor moveWithCells="1" sizeWithCells="1">
                  <from>
                    <xdr:col>16</xdr:col>
                    <xdr:colOff>190500</xdr:colOff>
                    <xdr:row>29</xdr:row>
                    <xdr:rowOff>161925</xdr:rowOff>
                  </from>
                  <to>
                    <xdr:col>17</xdr:col>
                    <xdr:colOff>1295400</xdr:colOff>
                    <xdr:row>30</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'Skill Data (Do Not Modify)'!$A$2:$A$149</xm:f>
          </x14:formula1>
          <xm:sqref>B4:B23 I4:I23 P4:P23 P33:P52 I33:I52 B33:B52</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3">
    <tabColor theme="8"/>
  </sheetPr>
  <dimension ref="A1:H67"/>
  <sheetViews>
    <sheetView tabSelected="1" topLeftCell="B1" workbookViewId="0">
      <selection activeCell="G11" sqref="G11"/>
    </sheetView>
  </sheetViews>
  <sheetFormatPr baseColWidth="10" defaultColWidth="10.7109375" defaultRowHeight="15" outlineLevelRow="1" outlineLevelCol="1" x14ac:dyDescent="0.25"/>
  <cols>
    <col min="2" max="2" width="89.5703125" bestFit="1" customWidth="1"/>
    <col min="3" max="3" width="25.85546875" customWidth="1" outlineLevel="1"/>
    <col min="4" max="4" width="17.42578125" bestFit="1" customWidth="1"/>
    <col min="5" max="6" width="16.7109375" customWidth="1"/>
  </cols>
  <sheetData>
    <row r="1" spans="1:6" ht="15.75" thickBot="1" x14ac:dyDescent="0.3">
      <c r="B1" s="16" t="s">
        <v>77</v>
      </c>
      <c r="C1" s="16" t="s">
        <v>133</v>
      </c>
      <c r="D1" s="16">
        <v>1</v>
      </c>
      <c r="E1" s="16">
        <v>2</v>
      </c>
      <c r="F1" s="16">
        <v>3</v>
      </c>
    </row>
    <row r="2" spans="1:6" x14ac:dyDescent="0.25">
      <c r="A2" s="81" t="s">
        <v>108</v>
      </c>
      <c r="B2" s="39" t="s">
        <v>12</v>
      </c>
      <c r="C2" s="9"/>
      <c r="D2" s="12" t="s">
        <v>16</v>
      </c>
      <c r="E2" s="12" t="s">
        <v>16</v>
      </c>
      <c r="F2" s="12" t="s">
        <v>16</v>
      </c>
    </row>
    <row r="3" spans="1:6" x14ac:dyDescent="0.25">
      <c r="A3" s="81"/>
      <c r="B3" s="39" t="s">
        <v>19</v>
      </c>
      <c r="C3" s="8"/>
      <c r="D3" s="13" t="s">
        <v>28</v>
      </c>
      <c r="E3" s="13" t="s">
        <v>28</v>
      </c>
      <c r="F3" s="13" t="s">
        <v>26</v>
      </c>
    </row>
    <row r="4" spans="1:6" x14ac:dyDescent="0.25">
      <c r="A4" s="81"/>
      <c r="B4" s="39" t="s">
        <v>355</v>
      </c>
      <c r="C4" s="8"/>
      <c r="D4" s="14">
        <v>0.15</v>
      </c>
      <c r="E4" s="14">
        <v>0.15</v>
      </c>
      <c r="F4" s="14">
        <v>0.15</v>
      </c>
    </row>
    <row r="5" spans="1:6" x14ac:dyDescent="0.25">
      <c r="A5" s="81"/>
      <c r="B5" s="39" t="s">
        <v>36</v>
      </c>
      <c r="C5" s="8"/>
      <c r="D5" s="14" t="s">
        <v>132</v>
      </c>
      <c r="E5" s="14" t="s">
        <v>132</v>
      </c>
      <c r="F5" s="14" t="s">
        <v>132</v>
      </c>
    </row>
    <row r="6" spans="1:6" ht="15.75" thickBot="1" x14ac:dyDescent="0.3">
      <c r="A6" s="81"/>
      <c r="B6" s="39" t="s">
        <v>111</v>
      </c>
      <c r="C6" s="8"/>
      <c r="D6" s="15">
        <v>1</v>
      </c>
      <c r="E6" s="15">
        <v>1</v>
      </c>
      <c r="F6" s="15">
        <v>1</v>
      </c>
    </row>
    <row r="7" spans="1:6" x14ac:dyDescent="0.25">
      <c r="A7" s="81"/>
      <c r="B7" s="39" t="s">
        <v>11</v>
      </c>
      <c r="C7" s="9"/>
      <c r="D7" s="13">
        <v>0</v>
      </c>
      <c r="E7" s="13">
        <v>0</v>
      </c>
      <c r="F7" s="13">
        <v>0</v>
      </c>
    </row>
    <row r="8" spans="1:6" ht="15.75" thickBot="1" x14ac:dyDescent="0.3">
      <c r="A8" s="27"/>
      <c r="B8" s="39" t="s">
        <v>143</v>
      </c>
      <c r="C8" s="8"/>
      <c r="D8" s="15">
        <v>1</v>
      </c>
      <c r="E8" s="15">
        <v>1</v>
      </c>
      <c r="F8" s="15">
        <v>0</v>
      </c>
    </row>
    <row r="9" spans="1:6" x14ac:dyDescent="0.25">
      <c r="B9" s="39" t="s">
        <v>144</v>
      </c>
      <c r="C9" s="8"/>
      <c r="D9" s="13">
        <v>6</v>
      </c>
      <c r="E9" s="13">
        <v>6</v>
      </c>
      <c r="F9" s="13">
        <v>7</v>
      </c>
    </row>
    <row r="10" spans="1:6" x14ac:dyDescent="0.25">
      <c r="B10" s="39" t="s">
        <v>41</v>
      </c>
      <c r="C10" s="8"/>
      <c r="D10" s="13">
        <v>0</v>
      </c>
      <c r="E10" s="13">
        <v>0</v>
      </c>
      <c r="F10" s="13">
        <v>0</v>
      </c>
    </row>
    <row r="11" spans="1:6" x14ac:dyDescent="0.25">
      <c r="B11" s="39" t="s">
        <v>42</v>
      </c>
      <c r="C11" s="8"/>
      <c r="D11" s="13">
        <v>421</v>
      </c>
      <c r="E11" s="13">
        <v>421</v>
      </c>
      <c r="F11" s="13">
        <v>421</v>
      </c>
    </row>
    <row r="12" spans="1:6" x14ac:dyDescent="0.25">
      <c r="B12" s="39" t="s">
        <v>110</v>
      </c>
      <c r="C12" s="9"/>
      <c r="D12" s="14">
        <v>0</v>
      </c>
      <c r="E12" s="14">
        <v>0</v>
      </c>
      <c r="F12" s="14">
        <v>0</v>
      </c>
    </row>
    <row r="13" spans="1:6" x14ac:dyDescent="0.25">
      <c r="B13" s="39" t="s">
        <v>38</v>
      </c>
      <c r="C13" s="8"/>
      <c r="D13" s="13">
        <v>0</v>
      </c>
      <c r="E13" s="13">
        <v>0</v>
      </c>
      <c r="F13" s="13">
        <v>0</v>
      </c>
    </row>
    <row r="14" spans="1:6" x14ac:dyDescent="0.25">
      <c r="B14" s="39" t="s">
        <v>141</v>
      </c>
      <c r="C14" s="8"/>
      <c r="D14" s="14">
        <v>0</v>
      </c>
      <c r="E14" s="14">
        <v>0.04</v>
      </c>
      <c r="F14" s="14">
        <v>0</v>
      </c>
    </row>
    <row r="15" spans="1:6" ht="15.75" thickBot="1" x14ac:dyDescent="0.3">
      <c r="B15" s="39" t="s">
        <v>145</v>
      </c>
      <c r="C15" s="9"/>
      <c r="D15" s="15">
        <v>1</v>
      </c>
      <c r="E15" s="15">
        <v>1</v>
      </c>
      <c r="F15" s="15">
        <v>1</v>
      </c>
    </row>
    <row r="16" spans="1:6" x14ac:dyDescent="0.25">
      <c r="B16" s="40" t="s">
        <v>96</v>
      </c>
      <c r="C16" s="8"/>
      <c r="D16" s="58">
        <v>0.83067573696145136</v>
      </c>
      <c r="E16" s="58">
        <v>0.83067573696145136</v>
      </c>
      <c r="F16" s="58">
        <v>0.83067573696145136</v>
      </c>
    </row>
    <row r="17" spans="1:8" x14ac:dyDescent="0.25">
      <c r="B17" s="41" t="s">
        <v>84</v>
      </c>
      <c r="C17" s="8"/>
      <c r="D17" s="24" t="s">
        <v>97</v>
      </c>
      <c r="E17" s="24" t="s">
        <v>97</v>
      </c>
      <c r="F17" s="24" t="s">
        <v>97</v>
      </c>
    </row>
    <row r="18" spans="1:8" ht="15.75" thickBot="1" x14ac:dyDescent="0.3">
      <c r="B18" s="41" t="s">
        <v>103</v>
      </c>
      <c r="C18" s="8"/>
      <c r="D18" s="77">
        <v>0.14000000000000001</v>
      </c>
      <c r="E18" s="77">
        <v>0.14000000000000001</v>
      </c>
      <c r="F18" s="77">
        <v>0.14000000000000001</v>
      </c>
    </row>
    <row r="19" spans="1:8" ht="15.75" thickBot="1" x14ac:dyDescent="0.3">
      <c r="B19" s="41" t="s">
        <v>305</v>
      </c>
      <c r="C19" s="8"/>
      <c r="D19" s="15">
        <f>IFERROR(VLOOKUP($B19,'Average Base Cost &amp; Ultigen'!B4:C23,2,FALSE),0)</f>
        <v>0</v>
      </c>
      <c r="E19" s="15">
        <f>IFERROR(VLOOKUP($B19,'Average Base Cost &amp; Ultigen'!I4:J23,2,FALSE),0)</f>
        <v>0</v>
      </c>
      <c r="F19" s="15">
        <f>IFERROR(VLOOKUP($B19,'Average Base Cost &amp; Ultigen'!P4:Q23,2,FALSE),0)</f>
        <v>0</v>
      </c>
    </row>
    <row r="20" spans="1:8" ht="15.75" hidden="1" outlineLevel="1" thickBot="1" x14ac:dyDescent="0.3">
      <c r="B20" s="39"/>
      <c r="C20" s="9"/>
      <c r="D20" s="57">
        <f>D27-D21</f>
        <v>-116</v>
      </c>
      <c r="E20" s="57">
        <f t="shared" ref="E20:F20" si="0">E27-E21</f>
        <v>-47</v>
      </c>
      <c r="F20" s="57">
        <f t="shared" si="0"/>
        <v>-233</v>
      </c>
    </row>
    <row r="21" spans="1:8" ht="15.75" collapsed="1" thickBot="1" x14ac:dyDescent="0.3">
      <c r="B21" s="39" t="s">
        <v>358</v>
      </c>
      <c r="C21" s="9"/>
      <c r="D21" s="15">
        <v>1724</v>
      </c>
      <c r="E21" s="15">
        <v>1575</v>
      </c>
      <c r="F21" s="15">
        <v>1861</v>
      </c>
    </row>
    <row r="22" spans="1:8" ht="15.75" thickBot="1" x14ac:dyDescent="0.3">
      <c r="B22" s="39" t="s">
        <v>357</v>
      </c>
      <c r="C22" s="9"/>
      <c r="D22" s="6"/>
      <c r="E22" s="6"/>
      <c r="F22" s="6"/>
    </row>
    <row r="23" spans="1:8" x14ac:dyDescent="0.25">
      <c r="A23" s="81" t="s">
        <v>136</v>
      </c>
      <c r="B23" s="42" t="s">
        <v>90</v>
      </c>
      <c r="C23" s="42"/>
      <c r="D23" s="69">
        <f>'Average Base Cost &amp; Ultigen'!E24</f>
        <v>2389.6</v>
      </c>
      <c r="E23" s="69">
        <f>'Average Base Cost &amp; Ultigen'!L24</f>
        <v>2389.6</v>
      </c>
      <c r="F23" s="69">
        <f>'Average Base Cost &amp; Ultigen'!S24</f>
        <v>2389.6</v>
      </c>
    </row>
    <row r="24" spans="1:8" x14ac:dyDescent="0.25">
      <c r="A24" s="81"/>
      <c r="B24" s="40" t="s">
        <v>135</v>
      </c>
      <c r="C24" s="40"/>
      <c r="D24" s="31">
        <f>D16</f>
        <v>0.83067573696145136</v>
      </c>
      <c r="E24" s="31">
        <f>E16</f>
        <v>0.83067573696145136</v>
      </c>
      <c r="F24" s="31">
        <f>F16</f>
        <v>0.83067573696145136</v>
      </c>
    </row>
    <row r="25" spans="1:8" x14ac:dyDescent="0.25">
      <c r="A25" s="81"/>
      <c r="B25" s="41" t="s">
        <v>0</v>
      </c>
      <c r="C25" s="41"/>
      <c r="D25" s="70">
        <f>D14+D53+VLOOKUP(D2,'Class Data (Do not modify)'!$A13:$E17,2,FALSE)+D9*0.02+VLOOKUP(D3,'Class Data (Do not modify)'!$A19:$D28,2,FALSE)</f>
        <v>0.19</v>
      </c>
      <c r="E25" s="70">
        <f>E14+E53+VLOOKUP(E2,'Class Data (Do not modify)'!$A13:$E17,2,FALSE)+E9*0.02+VLOOKUP(E3,'Class Data (Do not modify)'!$A19:$D28,2,FALSE)</f>
        <v>0.23</v>
      </c>
      <c r="F25" s="70">
        <f>F14+F53+VLOOKUP(F2,'Class Data (Do not modify)'!$A13:$E17,2,FALSE)+F9*0.02+VLOOKUP(F3,'Class Data (Do not modify)'!$A19:$D28,2,FALSE)</f>
        <v>0.18000000000000002</v>
      </c>
    </row>
    <row r="26" spans="1:8" x14ac:dyDescent="0.25">
      <c r="A26" s="81"/>
      <c r="B26" s="41" t="s">
        <v>1</v>
      </c>
      <c r="C26" s="41"/>
      <c r="D26" s="65">
        <f>D10*203+D13</f>
        <v>0</v>
      </c>
      <c r="E26" s="65">
        <f>E10*203+E13</f>
        <v>0</v>
      </c>
      <c r="F26" s="65">
        <f>F10*203+F13</f>
        <v>0</v>
      </c>
    </row>
    <row r="27" spans="1:8" x14ac:dyDescent="0.25">
      <c r="A27" s="81"/>
      <c r="B27" s="40" t="s">
        <v>89</v>
      </c>
      <c r="C27" s="40"/>
      <c r="D27" s="66">
        <f>ROUND((D23*D24-D26)*(1-D25),0)</f>
        <v>1608</v>
      </c>
      <c r="E27" s="66">
        <f>ROUND((E23*E24-E26)*(1-E25),0)</f>
        <v>1528</v>
      </c>
      <c r="F27" s="66">
        <f>ROUND((F23*F24-F26)*(1-F25),0)</f>
        <v>1628</v>
      </c>
    </row>
    <row r="28" spans="1:8" x14ac:dyDescent="0.25">
      <c r="A28" s="81"/>
      <c r="B28" s="49" t="s">
        <v>316</v>
      </c>
      <c r="C28" s="49"/>
      <c r="D28" s="67">
        <f>D23*D24-D27</f>
        <v>376.98274104308416</v>
      </c>
      <c r="E28" s="67">
        <f>E23*E24-E27</f>
        <v>456.98274104308416</v>
      </c>
      <c r="F28" s="67">
        <f>F23*F24-F27</f>
        <v>356.98274104308416</v>
      </c>
    </row>
    <row r="29" spans="1:8" x14ac:dyDescent="0.25">
      <c r="B29" s="41"/>
      <c r="C29" s="32"/>
      <c r="D29" s="32"/>
      <c r="E29" s="32"/>
      <c r="F29" s="32"/>
    </row>
    <row r="30" spans="1:8" x14ac:dyDescent="0.25">
      <c r="A30" s="81" t="s">
        <v>137</v>
      </c>
      <c r="B30" s="41" t="s">
        <v>2</v>
      </c>
      <c r="C30" s="32"/>
      <c r="D30" s="65">
        <f>ROUND(9.30612 *50 + 48.7,0)</f>
        <v>514</v>
      </c>
      <c r="E30" s="65">
        <f>ROUND(9.30612 *50 + 48.7,0)</f>
        <v>514</v>
      </c>
      <c r="F30" s="65">
        <f>ROUND(9.30612 *50 + 48.7,0)</f>
        <v>514</v>
      </c>
    </row>
    <row r="31" spans="1:8" x14ac:dyDescent="0.25">
      <c r="A31" s="81"/>
      <c r="B31" s="41" t="s">
        <v>3</v>
      </c>
      <c r="C31" s="28"/>
      <c r="D31" s="28">
        <f>D9*0.04+D4+D12+VLOOKUP(D5,'Class Data (Do not modify)'!$A30:$B31,2,FALSE)+VLOOKUP(D2,'Class Data (Do not modify)'!$A13:$E17,3,FALSE)++VLOOKUP(D3,'Class Data (Do not modify)'!$A19:$D28,3,FALSE)+D51+D52+D15*0.02</f>
        <v>0.6100000000000001</v>
      </c>
      <c r="E31" s="28">
        <f>E9*0.04+E4+E12+VLOOKUP(E5,'Class Data (Do not modify)'!$A30:$B31,2,FALSE)+VLOOKUP(E2,'Class Data (Do not modify)'!$A13:$E17,3,FALSE)++VLOOKUP(E3,'Class Data (Do not modify)'!$A19:$D28,3,FALSE)+E51+E52+E15*0.02</f>
        <v>0.6100000000000001</v>
      </c>
      <c r="F31" s="28">
        <f>F9*0.04+F4+F12+VLOOKUP(F5,'Class Data (Do not modify)'!$A30:$B31,2,FALSE)+VLOOKUP(F2,'Class Data (Do not modify)'!$A13:$E17,3,FALSE)++VLOOKUP(F3,'Class Data (Do not modify)'!$A19:$D28,3,FALSE)+F51+F52+F15*0.02</f>
        <v>0.74</v>
      </c>
    </row>
    <row r="32" spans="1:8" x14ac:dyDescent="0.25">
      <c r="A32" s="81"/>
      <c r="B32" s="41" t="s">
        <v>4</v>
      </c>
      <c r="C32" s="32"/>
      <c r="D32" s="65">
        <f>D6*129+D11+D7*174</f>
        <v>550</v>
      </c>
      <c r="E32" s="65">
        <f>E6*129+E11+E7*174</f>
        <v>550</v>
      </c>
      <c r="F32" s="65">
        <f>F6*129+F11+F7*174</f>
        <v>550</v>
      </c>
      <c r="H32" s="79"/>
    </row>
    <row r="33" spans="1:8" x14ac:dyDescent="0.25">
      <c r="A33" s="81"/>
      <c r="B33" s="40" t="s">
        <v>5</v>
      </c>
      <c r="C33" s="31"/>
      <c r="D33" s="66">
        <f>ROUND((D30+D32)*(1+D31),0)</f>
        <v>1713</v>
      </c>
      <c r="E33" s="66">
        <f>ROUND((E30+E32)*(1+E31),0)</f>
        <v>1713</v>
      </c>
      <c r="F33" s="66">
        <f>ROUND((F30+F32)*(1+F31),0)</f>
        <v>1851</v>
      </c>
    </row>
    <row r="34" spans="1:8" x14ac:dyDescent="0.25">
      <c r="A34" s="81"/>
      <c r="B34" s="49" t="s">
        <v>317</v>
      </c>
      <c r="C34" s="50"/>
      <c r="D34" s="67">
        <f>ROUND(D33/2,0)</f>
        <v>857</v>
      </c>
      <c r="E34" s="67">
        <f>ROUND(E33/2,0)</f>
        <v>857</v>
      </c>
      <c r="F34" s="67">
        <f>ROUND(F33/2,0)</f>
        <v>926</v>
      </c>
    </row>
    <row r="35" spans="1:8" x14ac:dyDescent="0.25">
      <c r="A35" s="81"/>
      <c r="B35" s="43"/>
      <c r="D35" s="33"/>
      <c r="E35" s="33"/>
      <c r="F35" s="33"/>
      <c r="H35" s="54"/>
    </row>
    <row r="36" spans="1:8" x14ac:dyDescent="0.25">
      <c r="B36" s="40" t="s">
        <v>67</v>
      </c>
      <c r="C36" s="9"/>
      <c r="D36" s="66">
        <f>D28+D34</f>
        <v>1233.9827410430842</v>
      </c>
      <c r="E36" s="66">
        <f>E28+E34</f>
        <v>1313.9827410430842</v>
      </c>
      <c r="F36" s="66">
        <f>F28+F34</f>
        <v>1282.9827410430842</v>
      </c>
    </row>
    <row r="37" spans="1:8" x14ac:dyDescent="0.25">
      <c r="B37" s="40" t="s">
        <v>40</v>
      </c>
      <c r="C37" s="9"/>
      <c r="D37" s="66">
        <f>(0+D10+D7)*174</f>
        <v>0</v>
      </c>
      <c r="E37" s="66">
        <f>(0+E10+E7)*174</f>
        <v>0</v>
      </c>
      <c r="F37" s="66">
        <f>(0+F10+F7)*174</f>
        <v>0</v>
      </c>
    </row>
    <row r="38" spans="1:8" x14ac:dyDescent="0.25">
      <c r="B38" s="49" t="s">
        <v>116</v>
      </c>
      <c r="C38" s="51"/>
      <c r="D38" s="67">
        <f>D36-D27</f>
        <v>-374.01725895691584</v>
      </c>
      <c r="E38" s="67">
        <f t="shared" ref="E38:F38" si="1">E36-E27</f>
        <v>-214.01725895691584</v>
      </c>
      <c r="F38" s="67">
        <f t="shared" si="1"/>
        <v>-345.01725895691584</v>
      </c>
    </row>
    <row r="39" spans="1:8" x14ac:dyDescent="0.25">
      <c r="B39" s="43"/>
      <c r="D39" s="33"/>
      <c r="E39" s="33"/>
      <c r="F39" s="33"/>
    </row>
    <row r="40" spans="1:8" ht="15" customHeight="1" x14ac:dyDescent="0.25">
      <c r="B40" s="40" t="s">
        <v>151</v>
      </c>
      <c r="C40" s="9"/>
      <c r="D40" s="34"/>
      <c r="E40" s="34"/>
      <c r="F40" s="34"/>
    </row>
    <row r="41" spans="1:8" x14ac:dyDescent="0.25">
      <c r="A41" s="81" t="s">
        <v>106</v>
      </c>
      <c r="B41" s="41" t="s">
        <v>68</v>
      </c>
      <c r="C41" s="14" t="s">
        <v>131</v>
      </c>
      <c r="D41" s="65">
        <f>IF($C41="Yes",300,0)</f>
        <v>300</v>
      </c>
      <c r="E41" s="65">
        <f>IF($C41="Yes",300,0)</f>
        <v>300</v>
      </c>
      <c r="F41" s="65">
        <f t="shared" ref="F41" si="2">IF($C41="Yes",300,0)</f>
        <v>300</v>
      </c>
    </row>
    <row r="42" spans="1:8" x14ac:dyDescent="0.25">
      <c r="A42" s="81"/>
      <c r="B42" s="41" t="s">
        <v>147</v>
      </c>
      <c r="C42" s="14" t="s">
        <v>131</v>
      </c>
      <c r="D42" s="65">
        <f>IF(AND(D2="Warden",$C42="Yes"),4099/25,0)</f>
        <v>0</v>
      </c>
      <c r="E42" s="65">
        <f>IF(AND(E2="Warden",$C42="Yes"),4099/25,0)</f>
        <v>0</v>
      </c>
      <c r="F42" s="65">
        <f>IF(AND(F2="Warden",$C42="Yes"),4099/25,0)</f>
        <v>0</v>
      </c>
    </row>
    <row r="43" spans="1:8" x14ac:dyDescent="0.25">
      <c r="A43" s="81"/>
      <c r="B43" s="41" t="s">
        <v>148</v>
      </c>
      <c r="C43" s="14" t="s">
        <v>131</v>
      </c>
      <c r="D43" s="65">
        <f>IF(AND(D2="Nightblade",$C43="Yes"),106*D24+4290/20,0)</f>
        <v>0</v>
      </c>
      <c r="E43" s="65">
        <f>IF(AND(E2="Nightblade",$C43="Yes"),106*E24+4290/20,0)</f>
        <v>0</v>
      </c>
      <c r="F43" s="65">
        <f>IF(AND(F2="Nightblade",$C43="Yes"),106*F24+4290/20,0)</f>
        <v>0</v>
      </c>
    </row>
    <row r="44" spans="1:8" x14ac:dyDescent="0.25">
      <c r="A44" s="81"/>
      <c r="B44" s="41" t="s">
        <v>149</v>
      </c>
      <c r="C44" s="14" t="s">
        <v>131</v>
      </c>
      <c r="D44" s="65">
        <f>IF(AND(D2="Templar",$C44="Yes"),240,0)</f>
        <v>240</v>
      </c>
      <c r="E44" s="65">
        <f>IF(AND(E2="Templar",$C44="Yes"),240,0)</f>
        <v>240</v>
      </c>
      <c r="F44" s="65">
        <f>IF(AND(F2="Templar",$C44="Yes"),240,0)</f>
        <v>240</v>
      </c>
    </row>
    <row r="45" spans="1:8" x14ac:dyDescent="0.25">
      <c r="A45" s="81"/>
      <c r="B45" s="41" t="s">
        <v>150</v>
      </c>
      <c r="C45" s="14" t="s">
        <v>131</v>
      </c>
      <c r="D45" s="65">
        <f>IF(AND($C45="Yes",+D2="Dragonknight"),(46*'Average Base Cost &amp; Ultigen'!E25)/('Average Base Cost &amp; Ultigen'!E25/'Average Base Cost &amp; Ultigen'!E26),0)</f>
        <v>0</v>
      </c>
      <c r="E45" s="65">
        <f>IF(AND($C45="Yes",+E2="Dragonknight"),(46*'Average Base Cost &amp; Ultigen'!L25)/('Average Base Cost &amp; Ultigen'!L25/'Average Base Cost &amp; Ultigen'!L26),0)</f>
        <v>0</v>
      </c>
      <c r="F45" s="65">
        <f>IF(AND($C45="Yes",+F2="Dragonknight"),(46*'Average Base Cost &amp; Ultigen'!S25)/('Average Base Cost &amp; Ultigen'!S25/'Average Base Cost &amp; Ultigen'!S26),0)</f>
        <v>0</v>
      </c>
    </row>
    <row r="46" spans="1:8" x14ac:dyDescent="0.25">
      <c r="A46" s="81"/>
      <c r="B46" s="41" t="s">
        <v>86</v>
      </c>
      <c r="C46" s="14" t="s">
        <v>132</v>
      </c>
      <c r="D46" s="72">
        <f>IF($C46="Yes",3960/20,0)</f>
        <v>0</v>
      </c>
      <c r="E46" s="72">
        <f t="shared" ref="E46:F46" si="3">IF($C46="Yes",3960/20,0)</f>
        <v>0</v>
      </c>
      <c r="F46" s="72">
        <f t="shared" si="3"/>
        <v>0</v>
      </c>
    </row>
    <row r="47" spans="1:8" x14ac:dyDescent="0.25">
      <c r="B47" s="41" t="s">
        <v>146</v>
      </c>
      <c r="C47" s="14" t="s">
        <v>131</v>
      </c>
      <c r="D47" s="72">
        <f>IF($C47="Yes",7762/45+IF(D3="Argonian",4620/45,0),0)</f>
        <v>172.48888888888888</v>
      </c>
      <c r="E47" s="72">
        <f>IF($C47="Yes",7762/45+IF(E3="Argonian",4620/45,0),0)</f>
        <v>172.48888888888888</v>
      </c>
      <c r="F47" s="72">
        <f>IF($C47="Yes",7762/45+IF(F3="Argonian",4620/45,0),0)</f>
        <v>172.48888888888888</v>
      </c>
    </row>
    <row r="48" spans="1:8" x14ac:dyDescent="0.25">
      <c r="B48" s="41" t="s">
        <v>120</v>
      </c>
      <c r="C48" s="14" t="s">
        <v>131</v>
      </c>
      <c r="D48" s="72">
        <f>IF($C48="Yes",+D8*108/4,0)</f>
        <v>27</v>
      </c>
      <c r="E48" s="72">
        <f>IF($C48="Yes",+E8*108/4,0)</f>
        <v>27</v>
      </c>
      <c r="F48" s="72">
        <f>IF($C48="Yes",+F8*108/4,0)</f>
        <v>0</v>
      </c>
    </row>
    <row r="49" spans="1:6" x14ac:dyDescent="0.25">
      <c r="B49" s="41" t="s">
        <v>187</v>
      </c>
      <c r="C49" s="14" t="s">
        <v>131</v>
      </c>
      <c r="D49" s="72">
        <f>IF(C49="Yes",IFERROR(VLOOKUP(B49,'Average Base Cost &amp; Ultigen'!B4:C23,2,FALSE)*4696/'Average Base Cost &amp; Ultigen'!B2,0),0)</f>
        <v>0</v>
      </c>
      <c r="E49" s="72">
        <f>IF(C49="Yes",IFERROR(VLOOKUP(C49,'Average Base Cost &amp; Ultigen'!I4:J23,2,FALSE)*4696/'Average Base Cost &amp; Ultigen'!I2,0),0)</f>
        <v>0</v>
      </c>
      <c r="F49" s="72">
        <f>IF(C49="Yes",IFERROR(VLOOKUP(D49,'Average Base Cost &amp; Ultigen'!P4:Q23,2,FALSE)*4696/'Average Base Cost &amp; Ultigen'!P2,0),0)</f>
        <v>0</v>
      </c>
    </row>
    <row r="50" spans="1:6" x14ac:dyDescent="0.25">
      <c r="B50" s="41" t="s">
        <v>91</v>
      </c>
      <c r="C50" s="14" t="s">
        <v>132</v>
      </c>
      <c r="D50" s="65">
        <f>IF($C50="Yes",238*0.3,0)</f>
        <v>0</v>
      </c>
      <c r="E50" s="65">
        <f t="shared" ref="E50:F50" si="4">IF($C50="Yes",238*0.3,0)</f>
        <v>0</v>
      </c>
      <c r="F50" s="65">
        <f t="shared" si="4"/>
        <v>0</v>
      </c>
    </row>
    <row r="51" spans="1:6" x14ac:dyDescent="0.25">
      <c r="B51" s="39" t="s">
        <v>306</v>
      </c>
      <c r="C51" s="14" t="str">
        <f>IF(C47="Yes","Yes","No")</f>
        <v>Yes</v>
      </c>
      <c r="D51" s="71">
        <f>IF($C51="Yes",20%,0)</f>
        <v>0.2</v>
      </c>
      <c r="E51" s="71">
        <f>IF($C51="Yes",20%,0)</f>
        <v>0.2</v>
      </c>
      <c r="F51" s="71">
        <f>IF($C51="Yes",20%,0)</f>
        <v>0.2</v>
      </c>
    </row>
    <row r="52" spans="1:6" x14ac:dyDescent="0.25">
      <c r="B52" s="39" t="s">
        <v>134</v>
      </c>
      <c r="C52" s="14" t="s">
        <v>132</v>
      </c>
      <c r="D52" s="71">
        <f>IF($C52="Yes",10%,0)</f>
        <v>0</v>
      </c>
      <c r="E52" s="71">
        <f>IF($C52="Yes",10%,0)</f>
        <v>0</v>
      </c>
      <c r="F52" s="71">
        <f>IF($C52="Yes",10%,0)</f>
        <v>0</v>
      </c>
    </row>
    <row r="53" spans="1:6" x14ac:dyDescent="0.25">
      <c r="B53" s="39" t="s">
        <v>140</v>
      </c>
      <c r="C53" s="14" t="s">
        <v>132</v>
      </c>
      <c r="D53" s="71">
        <f>IF($C53="Yes",4%,0)</f>
        <v>0</v>
      </c>
      <c r="E53" s="71">
        <f>IF($C53="Yes",4%,0)</f>
        <v>0</v>
      </c>
      <c r="F53" s="71">
        <f>IF($C53="Yes",4%,0)</f>
        <v>0</v>
      </c>
    </row>
    <row r="54" spans="1:6" x14ac:dyDescent="0.25">
      <c r="B54" s="39" t="s">
        <v>364</v>
      </c>
      <c r="C54" s="78" t="s">
        <v>132</v>
      </c>
      <c r="D54" s="72">
        <v>0</v>
      </c>
      <c r="E54" s="72">
        <v>0</v>
      </c>
      <c r="F54" s="72">
        <v>0</v>
      </c>
    </row>
    <row r="55" spans="1:6" x14ac:dyDescent="0.25">
      <c r="B55" s="40" t="s">
        <v>88</v>
      </c>
      <c r="C55" s="9"/>
      <c r="D55" s="72">
        <f>D34+SUM(D41:D50)</f>
        <v>1596.4888888888888</v>
      </c>
      <c r="E55" s="72">
        <f t="shared" ref="E55:F55" si="5">E34+SUM(E41:E50)</f>
        <v>1596.4888888888888</v>
      </c>
      <c r="F55" s="72">
        <f t="shared" si="5"/>
        <v>1638.4888888888888</v>
      </c>
    </row>
    <row r="56" spans="1:6" x14ac:dyDescent="0.25">
      <c r="B56" s="40" t="s">
        <v>359</v>
      </c>
      <c r="C56" s="9"/>
      <c r="D56" s="73">
        <f>D41+D46+D23*D53</f>
        <v>300</v>
      </c>
      <c r="E56" s="73">
        <f>E41+E46+E23*E53</f>
        <v>300</v>
      </c>
      <c r="F56" s="73">
        <f>F41+F46+F23*F53</f>
        <v>300</v>
      </c>
    </row>
    <row r="57" spans="1:6" x14ac:dyDescent="0.25">
      <c r="B57" s="44"/>
      <c r="C57" s="10"/>
      <c r="D57" s="33"/>
      <c r="E57" s="33"/>
      <c r="F57" s="33"/>
    </row>
    <row r="58" spans="1:6" ht="15" customHeight="1" x14ac:dyDescent="0.25">
      <c r="B58" s="44"/>
      <c r="C58" s="10"/>
      <c r="D58" s="33"/>
      <c r="E58" s="33"/>
      <c r="F58" s="33"/>
    </row>
    <row r="59" spans="1:6" x14ac:dyDescent="0.25">
      <c r="A59" s="81" t="s">
        <v>107</v>
      </c>
      <c r="B59" s="40" t="s">
        <v>85</v>
      </c>
      <c r="C59" s="9"/>
      <c r="D59" s="34"/>
      <c r="E59" s="34"/>
      <c r="F59" s="34"/>
    </row>
    <row r="60" spans="1:6" x14ac:dyDescent="0.25">
      <c r="A60" s="81"/>
      <c r="B60" s="41" t="s">
        <v>84</v>
      </c>
      <c r="C60" s="8"/>
      <c r="D60" s="31" t="str">
        <f>D17</f>
        <v>Destruction Staff</v>
      </c>
      <c r="E60" s="31" t="str">
        <f t="shared" ref="E60:F60" si="6">E17</f>
        <v>Destruction Staff</v>
      </c>
      <c r="F60" s="31" t="str">
        <f t="shared" si="6"/>
        <v>Destruction Staff</v>
      </c>
    </row>
    <row r="61" spans="1:6" x14ac:dyDescent="0.25">
      <c r="A61" s="81"/>
      <c r="B61" s="41" t="s">
        <v>103</v>
      </c>
      <c r="C61" s="8"/>
      <c r="D61" s="76">
        <f t="shared" ref="D61:F61" si="7">D18</f>
        <v>0.14000000000000001</v>
      </c>
      <c r="E61" s="76">
        <f t="shared" si="7"/>
        <v>0.14000000000000001</v>
      </c>
      <c r="F61" s="76">
        <f t="shared" si="7"/>
        <v>0.14000000000000001</v>
      </c>
    </row>
    <row r="62" spans="1:6" x14ac:dyDescent="0.25">
      <c r="A62" s="81"/>
      <c r="B62" s="41" t="s">
        <v>80</v>
      </c>
      <c r="C62" s="8"/>
      <c r="D62" s="66">
        <f t="shared" ref="D62:F62" si="8">D19</f>
        <v>0</v>
      </c>
      <c r="E62" s="66">
        <f t="shared" si="8"/>
        <v>0</v>
      </c>
      <c r="F62" s="66">
        <f t="shared" si="8"/>
        <v>0</v>
      </c>
    </row>
    <row r="63" spans="1:6" x14ac:dyDescent="0.25">
      <c r="A63" s="81"/>
      <c r="B63" s="41" t="s">
        <v>318</v>
      </c>
      <c r="C63" s="8"/>
      <c r="D63" s="66">
        <f>D62*VLOOKUP(D60,'Class Data (Do not modify)'!$A$35:$B$40,2,FALSE)*(1+D61)/'Average Base Cost &amp; Ultigen'!B2</f>
        <v>0</v>
      </c>
      <c r="E63" s="66">
        <f>E62*VLOOKUP(E60,'Class Data (Do not modify)'!$A$35:$B$40,2,FALSE)*(1+E61)/'Average Base Cost &amp; Ultigen'!I2</f>
        <v>0</v>
      </c>
      <c r="F63" s="66">
        <f>F62*VLOOKUP(F60,'Class Data (Do not modify)'!$A$35:$B$40,2,FALSE)*(1+F61)/'Average Base Cost &amp; Ultigen'!P2</f>
        <v>0</v>
      </c>
    </row>
    <row r="64" spans="1:6" x14ac:dyDescent="0.25">
      <c r="A64" s="81"/>
      <c r="B64" s="43"/>
      <c r="D64" s="74"/>
      <c r="E64" s="74"/>
      <c r="F64" s="74"/>
    </row>
    <row r="65" spans="1:6" x14ac:dyDescent="0.25">
      <c r="B65" s="43"/>
      <c r="D65" s="74"/>
      <c r="E65" s="74"/>
      <c r="F65" s="74"/>
    </row>
    <row r="66" spans="1:6" x14ac:dyDescent="0.25">
      <c r="B66" s="43"/>
      <c r="D66" s="74"/>
      <c r="E66" s="74"/>
      <c r="F66" s="74"/>
    </row>
    <row r="67" spans="1:6" ht="18.75" x14ac:dyDescent="0.3">
      <c r="A67" s="18" t="s">
        <v>109</v>
      </c>
      <c r="B67" s="45" t="s">
        <v>115</v>
      </c>
      <c r="C67" s="17"/>
      <c r="D67" s="75">
        <f>-D27+D55+D63</f>
        <v>-11.511111111111177</v>
      </c>
      <c r="E67" s="75">
        <f>-E27+E55+E63</f>
        <v>68.488888888888823</v>
      </c>
      <c r="F67" s="75">
        <f>-F27+F55+F63</f>
        <v>10.488888888888823</v>
      </c>
    </row>
  </sheetData>
  <mergeCells count="5">
    <mergeCell ref="A2:A7"/>
    <mergeCell ref="A23:A28"/>
    <mergeCell ref="A30:A35"/>
    <mergeCell ref="A41:A46"/>
    <mergeCell ref="A59:A64"/>
  </mergeCells>
  <dataValidations count="1">
    <dataValidation type="decimal" allowBlank="1" showInputMessage="1" showErrorMessage="1" sqref="D16:F16">
      <formula1>0</formula1>
      <formula2>1</formula2>
    </dataValidation>
  </dataValidation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5" r:id="rId4" name="Button 7">
              <controlPr defaultSize="0" print="0" autoFill="0" autoPict="0" macro="[0]!DraintestMag1">
                <anchor moveWithCells="1" sizeWithCells="1">
                  <from>
                    <xdr:col>3</xdr:col>
                    <xdr:colOff>19050</xdr:colOff>
                    <xdr:row>20</xdr:row>
                    <xdr:rowOff>200025</xdr:rowOff>
                  </from>
                  <to>
                    <xdr:col>3</xdr:col>
                    <xdr:colOff>1152525</xdr:colOff>
                    <xdr:row>21</xdr:row>
                    <xdr:rowOff>200025</xdr:rowOff>
                  </to>
                </anchor>
              </controlPr>
            </control>
          </mc:Choice>
        </mc:AlternateContent>
        <mc:AlternateContent xmlns:mc="http://schemas.openxmlformats.org/markup-compatibility/2006">
          <mc:Choice Requires="x14">
            <control shapeId="2056" r:id="rId5" name="Button 8">
              <controlPr defaultSize="0" print="0" autoFill="0" autoPict="0" macro="[0]!DrainTestMag2">
                <anchor moveWithCells="1" sizeWithCells="1">
                  <from>
                    <xdr:col>4</xdr:col>
                    <xdr:colOff>28575</xdr:colOff>
                    <xdr:row>20</xdr:row>
                    <xdr:rowOff>190500</xdr:rowOff>
                  </from>
                  <to>
                    <xdr:col>5</xdr:col>
                    <xdr:colOff>0</xdr:colOff>
                    <xdr:row>21</xdr:row>
                    <xdr:rowOff>190500</xdr:rowOff>
                  </to>
                </anchor>
              </controlPr>
            </control>
          </mc:Choice>
        </mc:AlternateContent>
        <mc:AlternateContent xmlns:mc="http://schemas.openxmlformats.org/markup-compatibility/2006">
          <mc:Choice Requires="x14">
            <control shapeId="2057" r:id="rId6" name="Button 9">
              <controlPr defaultSize="0" print="0" autoFill="0" autoPict="0" macro="[0]!DrainTestMag3">
                <anchor moveWithCells="1" sizeWithCells="1">
                  <from>
                    <xdr:col>5</xdr:col>
                    <xdr:colOff>19050</xdr:colOff>
                    <xdr:row>21</xdr:row>
                    <xdr:rowOff>0</xdr:rowOff>
                  </from>
                  <to>
                    <xdr:col>5</xdr:col>
                    <xdr:colOff>1095375</xdr:colOff>
                    <xdr:row>22</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7">
        <x14:dataValidation type="list" allowBlank="1" showInputMessage="1" showErrorMessage="1">
          <x14:formula1>
            <xm:f>'Class Data (Do not modify)'!$C$2:$C$6</xm:f>
          </x14:formula1>
          <xm:sqref>D2:F2</xm:sqref>
        </x14:dataValidation>
        <x14:dataValidation type="list" allowBlank="1" showInputMessage="1" showErrorMessage="1">
          <x14:formula1>
            <xm:f>'Class Data (Do not modify)'!$A$2:$A$8</xm:f>
          </x14:formula1>
          <xm:sqref>D9:F9</xm:sqref>
        </x14:dataValidation>
        <x14:dataValidation type="list" allowBlank="1" showInputMessage="1" showErrorMessage="1">
          <x14:formula1>
            <xm:f>'Class Data (Do not modify)'!$A$19:$A$28</xm:f>
          </x14:formula1>
          <xm:sqref>D3:F3</xm:sqref>
        </x14:dataValidation>
        <x14:dataValidation type="list" allowBlank="1" showInputMessage="1" showErrorMessage="1">
          <x14:formula1>
            <xm:f>'Class Data (Do not modify)'!$A$30:$A$31</xm:f>
          </x14:formula1>
          <xm:sqref>D5:F5 C41:C50 C52:C54</xm:sqref>
        </x14:dataValidation>
        <x14:dataValidation type="list" allowBlank="1" showInputMessage="1" showErrorMessage="1">
          <x14:formula1>
            <xm:f>'Class Data (Do not modify)'!$B$2:$B$5</xm:f>
          </x14:formula1>
          <xm:sqref>D10:F10 D7:F7</xm:sqref>
        </x14:dataValidation>
        <x14:dataValidation type="list" allowBlank="1" showInputMessage="1" showErrorMessage="1">
          <x14:formula1>
            <xm:f>'Class Data (Do not modify)'!$E$2:$E$8</xm:f>
          </x14:formula1>
          <xm:sqref>D6:F6 D15:F15 D8:F8</xm:sqref>
        </x14:dataValidation>
        <x14:dataValidation type="list" allowBlank="1" showInputMessage="1" showErrorMessage="1">
          <x14:formula1>
            <xm:f>'Class Data (Do not modify)'!$A$35:$A$36</xm:f>
          </x14:formula1>
          <xm:sqref>D17:F17</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
    <tabColor theme="9"/>
  </sheetPr>
  <dimension ref="A1:G70"/>
  <sheetViews>
    <sheetView topLeftCell="B32" workbookViewId="0">
      <selection activeCell="D67" sqref="D67"/>
    </sheetView>
  </sheetViews>
  <sheetFormatPr baseColWidth="10" defaultColWidth="10.7109375" defaultRowHeight="15" outlineLevelRow="1" outlineLevelCol="1" x14ac:dyDescent="0.25"/>
  <cols>
    <col min="2" max="2" width="77.140625" style="43" bestFit="1" customWidth="1"/>
    <col min="3" max="3" width="14.7109375" hidden="1" customWidth="1" outlineLevel="1"/>
    <col min="4" max="4" width="16.7109375" customWidth="1" collapsed="1"/>
    <col min="5" max="6" width="16.7109375" customWidth="1"/>
  </cols>
  <sheetData>
    <row r="1" spans="1:6" ht="15.75" thickBot="1" x14ac:dyDescent="0.3">
      <c r="B1" s="46" t="s">
        <v>77</v>
      </c>
      <c r="C1" s="16" t="s">
        <v>133</v>
      </c>
      <c r="D1" s="16">
        <v>1</v>
      </c>
      <c r="E1" s="16">
        <v>2</v>
      </c>
      <c r="F1" s="16">
        <v>3</v>
      </c>
    </row>
    <row r="2" spans="1:6" ht="15" customHeight="1" x14ac:dyDescent="0.25">
      <c r="A2" s="81" t="s">
        <v>108</v>
      </c>
      <c r="B2" s="39" t="s">
        <v>12</v>
      </c>
      <c r="C2" s="9"/>
      <c r="D2" s="20" t="s">
        <v>16</v>
      </c>
      <c r="E2" s="20" t="s">
        <v>16</v>
      </c>
      <c r="F2" s="20" t="s">
        <v>16</v>
      </c>
    </row>
    <row r="3" spans="1:6" x14ac:dyDescent="0.25">
      <c r="A3" s="81"/>
      <c r="B3" s="39" t="s">
        <v>19</v>
      </c>
      <c r="C3" s="8"/>
      <c r="D3" s="21" t="s">
        <v>30</v>
      </c>
      <c r="E3" s="21" t="s">
        <v>31</v>
      </c>
      <c r="F3" s="21" t="s">
        <v>32</v>
      </c>
    </row>
    <row r="4" spans="1:6" x14ac:dyDescent="0.25">
      <c r="A4" s="81"/>
      <c r="B4" s="39" t="s">
        <v>356</v>
      </c>
      <c r="C4" s="8"/>
      <c r="D4" s="22">
        <v>0.14000000000000001</v>
      </c>
      <c r="E4" s="22">
        <v>0.14000000000000001</v>
      </c>
      <c r="F4" s="22">
        <v>0.14000000000000001</v>
      </c>
    </row>
    <row r="5" spans="1:6" x14ac:dyDescent="0.25">
      <c r="A5" s="81"/>
      <c r="B5" s="39" t="s">
        <v>36</v>
      </c>
      <c r="C5" s="8"/>
      <c r="D5" s="22" t="s">
        <v>131</v>
      </c>
      <c r="E5" s="22" t="s">
        <v>131</v>
      </c>
      <c r="F5" s="22" t="s">
        <v>131</v>
      </c>
    </row>
    <row r="6" spans="1:6" ht="15.75" thickBot="1" x14ac:dyDescent="0.3">
      <c r="A6" s="81"/>
      <c r="B6" s="39" t="s">
        <v>37</v>
      </c>
      <c r="C6" s="8"/>
      <c r="D6" s="23">
        <v>0</v>
      </c>
      <c r="E6" s="23">
        <v>0</v>
      </c>
      <c r="F6" s="23">
        <v>0</v>
      </c>
    </row>
    <row r="7" spans="1:6" x14ac:dyDescent="0.25">
      <c r="A7" s="81"/>
      <c r="B7" s="39" t="s">
        <v>11</v>
      </c>
      <c r="C7" s="8"/>
      <c r="D7" s="21">
        <v>1</v>
      </c>
      <c r="E7" s="21">
        <v>1</v>
      </c>
      <c r="F7" s="21">
        <v>1</v>
      </c>
    </row>
    <row r="8" spans="1:6" ht="15.75" thickBot="1" x14ac:dyDescent="0.3">
      <c r="A8" s="27"/>
      <c r="B8" s="39" t="s">
        <v>118</v>
      </c>
      <c r="C8" s="9"/>
      <c r="D8" s="23">
        <v>0</v>
      </c>
      <c r="E8" s="23">
        <v>0</v>
      </c>
      <c r="F8" s="23">
        <v>0</v>
      </c>
    </row>
    <row r="9" spans="1:6" x14ac:dyDescent="0.25">
      <c r="B9" s="39" t="s">
        <v>119</v>
      </c>
      <c r="C9" s="9"/>
      <c r="D9" s="21">
        <v>7</v>
      </c>
      <c r="E9" s="21">
        <v>7</v>
      </c>
      <c r="F9" s="21">
        <v>7</v>
      </c>
    </row>
    <row r="10" spans="1:6" x14ac:dyDescent="0.25">
      <c r="B10" s="39" t="s">
        <v>41</v>
      </c>
      <c r="C10" s="8"/>
      <c r="D10" s="21">
        <v>0</v>
      </c>
      <c r="E10" s="21">
        <v>0</v>
      </c>
      <c r="F10" s="21">
        <v>0</v>
      </c>
    </row>
    <row r="11" spans="1:6" x14ac:dyDescent="0.25">
      <c r="B11" s="39" t="s">
        <v>112</v>
      </c>
      <c r="C11" s="8"/>
      <c r="D11" s="21">
        <v>0</v>
      </c>
      <c r="E11" s="21">
        <v>0</v>
      </c>
      <c r="F11" s="21">
        <v>0</v>
      </c>
    </row>
    <row r="12" spans="1:6" x14ac:dyDescent="0.25">
      <c r="B12" s="39" t="s">
        <v>142</v>
      </c>
      <c r="C12" s="8"/>
      <c r="D12" s="22">
        <v>0</v>
      </c>
      <c r="E12" s="22">
        <v>0</v>
      </c>
      <c r="F12" s="22">
        <v>0</v>
      </c>
    </row>
    <row r="13" spans="1:6" x14ac:dyDescent="0.25">
      <c r="B13" s="39" t="s">
        <v>38</v>
      </c>
      <c r="C13" s="8"/>
      <c r="D13" s="21">
        <v>0</v>
      </c>
      <c r="E13" s="21">
        <v>0</v>
      </c>
      <c r="F13" s="21">
        <v>0</v>
      </c>
    </row>
    <row r="14" spans="1:6" x14ac:dyDescent="0.25">
      <c r="B14" s="39" t="s">
        <v>113</v>
      </c>
      <c r="C14" s="8"/>
      <c r="D14" s="22">
        <v>0.08</v>
      </c>
      <c r="E14" s="22">
        <v>0.08</v>
      </c>
      <c r="F14" s="22">
        <v>0.08</v>
      </c>
    </row>
    <row r="15" spans="1:6" ht="15.75" thickBot="1" x14ac:dyDescent="0.3">
      <c r="B15" s="39"/>
      <c r="C15" s="9"/>
      <c r="D15" s="23"/>
      <c r="E15" s="23"/>
      <c r="F15" s="23"/>
    </row>
    <row r="16" spans="1:6" x14ac:dyDescent="0.25">
      <c r="B16" s="40" t="s">
        <v>96</v>
      </c>
      <c r="C16" s="8"/>
      <c r="D16" s="59">
        <v>0.74971428571428567</v>
      </c>
      <c r="E16" s="59">
        <v>0.8</v>
      </c>
      <c r="F16" s="59">
        <v>0.8</v>
      </c>
    </row>
    <row r="17" spans="1:6" x14ac:dyDescent="0.25">
      <c r="B17" s="41" t="s">
        <v>84</v>
      </c>
      <c r="C17" s="8"/>
      <c r="D17" s="21" t="s">
        <v>99</v>
      </c>
      <c r="E17" s="21" t="s">
        <v>99</v>
      </c>
      <c r="F17" s="21" t="s">
        <v>99</v>
      </c>
    </row>
    <row r="18" spans="1:6" x14ac:dyDescent="0.25">
      <c r="B18" s="41" t="s">
        <v>103</v>
      </c>
      <c r="C18" s="8"/>
      <c r="D18" s="22">
        <v>0.14000000000000001</v>
      </c>
      <c r="E18" s="22">
        <v>0.14000000000000001</v>
      </c>
      <c r="F18" s="22">
        <v>0.14000000000000001</v>
      </c>
    </row>
    <row r="19" spans="1:6" hidden="1" outlineLevel="1" x14ac:dyDescent="0.25">
      <c r="B19" s="41" t="s">
        <v>305</v>
      </c>
      <c r="C19" s="8"/>
      <c r="D19" s="21">
        <f>IFERROR(VLOOKUP($B19,'Average Base Cost &amp; Ultigen'!B33:C52,2,FALSE),0)</f>
        <v>0</v>
      </c>
      <c r="E19" s="21">
        <f>IFERROR(VLOOKUP($B19,'Average Base Cost &amp; Ultigen'!I33:J52,2,FALSE),0)</f>
        <v>0</v>
      </c>
      <c r="F19" s="21">
        <f>IFERROR(VLOOKUP($B19,'Average Base Cost &amp; Ultigen'!P33:Q52,2,FALSE),0)</f>
        <v>0</v>
      </c>
    </row>
    <row r="20" spans="1:6" collapsed="1" x14ac:dyDescent="0.25">
      <c r="B20" s="39"/>
      <c r="C20" s="8"/>
      <c r="D20" s="21">
        <f>D27-D21</f>
        <v>0</v>
      </c>
      <c r="E20" s="21">
        <f t="shared" ref="E20:F20" si="0">E27-E21</f>
        <v>-202</v>
      </c>
      <c r="F20" s="21">
        <f t="shared" si="0"/>
        <v>188</v>
      </c>
    </row>
    <row r="21" spans="1:6" x14ac:dyDescent="0.25">
      <c r="B21" s="39" t="s">
        <v>358</v>
      </c>
      <c r="C21" s="8"/>
      <c r="D21" s="21">
        <v>1300</v>
      </c>
      <c r="E21" s="56">
        <v>1590</v>
      </c>
      <c r="F21" s="56">
        <v>1200</v>
      </c>
    </row>
    <row r="22" spans="1:6" ht="15.75" thickBot="1" x14ac:dyDescent="0.3">
      <c r="B22" s="39" t="s">
        <v>357</v>
      </c>
      <c r="C22" s="8"/>
      <c r="D22" s="21"/>
      <c r="E22" s="56"/>
      <c r="F22" s="56"/>
    </row>
    <row r="23" spans="1:6" ht="15" customHeight="1" x14ac:dyDescent="0.25">
      <c r="A23" s="81" t="s">
        <v>136</v>
      </c>
      <c r="B23" s="42" t="s">
        <v>66</v>
      </c>
      <c r="C23" s="7"/>
      <c r="D23" s="29">
        <f>'Average Base Cost &amp; Ultigen'!E53</f>
        <v>2344.1208333333329</v>
      </c>
      <c r="E23" s="30">
        <f>'Average Base Cost &amp; Ultigen'!L53</f>
        <v>2344.1208333333329</v>
      </c>
      <c r="F23" s="30">
        <f>'Average Base Cost &amp; Ultigen'!S53</f>
        <v>2344.1208333333329</v>
      </c>
    </row>
    <row r="24" spans="1:6" x14ac:dyDescent="0.25">
      <c r="A24" s="81"/>
      <c r="B24" s="40" t="s">
        <v>135</v>
      </c>
      <c r="C24" s="9"/>
      <c r="D24" s="31">
        <f>D16</f>
        <v>0.74971428571428567</v>
      </c>
      <c r="E24" s="31">
        <f t="shared" ref="E24:F24" si="1">E16</f>
        <v>0.8</v>
      </c>
      <c r="F24" s="31">
        <f t="shared" si="1"/>
        <v>0.8</v>
      </c>
    </row>
    <row r="25" spans="1:6" x14ac:dyDescent="0.25">
      <c r="A25" s="81"/>
      <c r="B25" s="41" t="s">
        <v>0</v>
      </c>
      <c r="C25" s="8"/>
      <c r="D25" s="37">
        <f>D14+VLOOKUP(D2,'Class Data (Do not modify)'!$A13:$E17,2,FALSE)+D9*0.02+VLOOKUP(D3,'Class Data (Do not modify)'!$A19:$D28,2,FALSE)</f>
        <v>0.26</v>
      </c>
      <c r="E25" s="37">
        <f>E14+VLOOKUP(E2,'Class Data (Do not modify)'!$A13:$E17,2,FALSE)+E9*0.02+VLOOKUP(E3,'Class Data (Do not modify)'!$A19:$D28,2,FALSE)</f>
        <v>0.26</v>
      </c>
      <c r="F25" s="37">
        <f>F14+VLOOKUP(F2,'Class Data (Do not modify)'!$A13:$E17,2,FALSE)+F9*0.02+VLOOKUP(F3,'Class Data (Do not modify)'!$A19:$D28,2,FALSE)</f>
        <v>0.26</v>
      </c>
    </row>
    <row r="26" spans="1:6" x14ac:dyDescent="0.25">
      <c r="A26" s="81"/>
      <c r="B26" s="41" t="s">
        <v>1</v>
      </c>
      <c r="C26" s="8"/>
      <c r="D26" s="32">
        <f>$D10*203+D13</f>
        <v>0</v>
      </c>
      <c r="E26" s="32">
        <f>$D10*203+E13</f>
        <v>0</v>
      </c>
      <c r="F26" s="32">
        <f>$D10*203+F13</f>
        <v>0</v>
      </c>
    </row>
    <row r="27" spans="1:6" x14ac:dyDescent="0.25">
      <c r="A27" s="81"/>
      <c r="B27" s="40" t="s">
        <v>89</v>
      </c>
      <c r="C27" s="9"/>
      <c r="D27" s="31">
        <f>ROUND((D23*D24-D26)*(1-D25),0)</f>
        <v>1300</v>
      </c>
      <c r="E27" s="31">
        <f>ROUND((E23*E24-E26)*(1-E25),0)</f>
        <v>1388</v>
      </c>
      <c r="F27" s="31">
        <f>ROUND((F23*F24-F26)*(1-F25),0)</f>
        <v>1388</v>
      </c>
    </row>
    <row r="28" spans="1:6" x14ac:dyDescent="0.25">
      <c r="A28" s="81"/>
      <c r="B28" s="41" t="s">
        <v>18</v>
      </c>
      <c r="C28" s="8"/>
      <c r="D28" s="32">
        <f>D23*D24-D27</f>
        <v>457.42087619047584</v>
      </c>
      <c r="E28" s="32">
        <f>E23*E24-E27</f>
        <v>487.2966666666664</v>
      </c>
      <c r="F28" s="32">
        <f>F23*F24-F27</f>
        <v>487.2966666666664</v>
      </c>
    </row>
    <row r="29" spans="1:6" x14ac:dyDescent="0.25">
      <c r="B29" s="41"/>
      <c r="C29" s="8"/>
      <c r="D29" s="32"/>
      <c r="E29" s="32"/>
      <c r="F29" s="32"/>
    </row>
    <row r="30" spans="1:6" ht="15" customHeight="1" x14ac:dyDescent="0.25">
      <c r="A30" s="81" t="s">
        <v>137</v>
      </c>
      <c r="B30" s="41" t="s">
        <v>2</v>
      </c>
      <c r="C30" s="8"/>
      <c r="D30" s="32">
        <f>ROUND(9.30612 *50 + 48.7,0)</f>
        <v>514</v>
      </c>
      <c r="E30" s="32">
        <f>ROUND(9.30612 *50 + 48.7,0)</f>
        <v>514</v>
      </c>
      <c r="F30" s="32">
        <f>ROUND(9.30612 *50 + 48.7,0)</f>
        <v>514</v>
      </c>
    </row>
    <row r="31" spans="1:6" x14ac:dyDescent="0.25">
      <c r="A31" s="81"/>
      <c r="B31" s="41" t="s">
        <v>3</v>
      </c>
      <c r="C31" s="8"/>
      <c r="D31" s="28">
        <f>D9*0.04+D4+D12+D53+VLOOKUP(D5,'Class Data (Do not modify)'!$A30:$B31,2,FALSE)+VLOOKUP(D2,'Class Data (Do not modify)'!$A13:$E17,3,FALSE)++VLOOKUP(D3,'Class Data (Do not modify)'!$A19:$D28,4,FALSE)+D51+D52</f>
        <v>1.02</v>
      </c>
      <c r="E31" s="28">
        <f>E9*0.04+E4+E12+E53+VLOOKUP(E5,'Class Data (Do not modify)'!$A30:$B31,2,FALSE)+VLOOKUP(E2,'Class Data (Do not modify)'!$A13:$E17,3,FALSE)++VLOOKUP(E3,'Class Data (Do not modify)'!$A19:$D28,4,FALSE)+E51+E52</f>
        <v>1.01</v>
      </c>
      <c r="F31" s="28">
        <f>F9*0.04+F4+F12+F53+VLOOKUP(F5,'Class Data (Do not modify)'!$A30:$B31,2,FALSE)+VLOOKUP(F2,'Class Data (Do not modify)'!$A13:$E17,3,FALSE)++VLOOKUP(F3,'Class Data (Do not modify)'!$A19:$D28,4,FALSE)+F51+F52</f>
        <v>1.1300000000000001</v>
      </c>
    </row>
    <row r="32" spans="1:6" x14ac:dyDescent="0.25">
      <c r="A32" s="81"/>
      <c r="B32" s="41" t="s">
        <v>4</v>
      </c>
      <c r="C32" s="8"/>
      <c r="D32" s="32">
        <f>D6*129+D11+D7*174</f>
        <v>174</v>
      </c>
      <c r="E32" s="32">
        <f t="shared" ref="E32:F32" si="2">E6*129+E11+E7*174</f>
        <v>174</v>
      </c>
      <c r="F32" s="32">
        <f t="shared" si="2"/>
        <v>174</v>
      </c>
    </row>
    <row r="33" spans="1:7" x14ac:dyDescent="0.25">
      <c r="A33" s="81"/>
      <c r="B33" s="40" t="s">
        <v>5</v>
      </c>
      <c r="C33" s="9"/>
      <c r="D33" s="31">
        <f>ROUND((D30+D32)*(1+D31),0)</f>
        <v>1390</v>
      </c>
      <c r="E33" s="31">
        <f>ROUND((E30+E32)*(1+E31),0)</f>
        <v>1383</v>
      </c>
      <c r="F33" s="31">
        <f>ROUND((F30+F32)*(1+F31),0)</f>
        <v>1465</v>
      </c>
    </row>
    <row r="34" spans="1:7" x14ac:dyDescent="0.25">
      <c r="A34" s="81"/>
      <c r="B34" s="40" t="s">
        <v>6</v>
      </c>
      <c r="C34" s="9"/>
      <c r="D34" s="31">
        <f>ROUND(D33/2,0)</f>
        <v>695</v>
      </c>
      <c r="E34" s="31">
        <f>ROUND(E33/2,0)</f>
        <v>692</v>
      </c>
      <c r="F34" s="31">
        <f>ROUND(F33/2,0)</f>
        <v>733</v>
      </c>
      <c r="G34" s="54"/>
    </row>
    <row r="35" spans="1:7" x14ac:dyDescent="0.25">
      <c r="A35" s="81"/>
      <c r="D35" s="33"/>
      <c r="E35" s="33"/>
      <c r="F35" s="33"/>
    </row>
    <row r="36" spans="1:7" x14ac:dyDescent="0.25">
      <c r="B36" s="40" t="s">
        <v>67</v>
      </c>
      <c r="C36" s="9"/>
      <c r="D36" s="31">
        <f>D28+D34</f>
        <v>1152.4208761904758</v>
      </c>
      <c r="E36" s="31">
        <f>E28+E34</f>
        <v>1179.2966666666664</v>
      </c>
      <c r="F36" s="31">
        <f>F28+F34</f>
        <v>1220.2966666666664</v>
      </c>
    </row>
    <row r="37" spans="1:7" x14ac:dyDescent="0.25">
      <c r="B37" s="40" t="s">
        <v>40</v>
      </c>
      <c r="C37" s="9"/>
      <c r="D37" s="31">
        <f>(0+D10+D7)*174</f>
        <v>174</v>
      </c>
      <c r="E37" s="31">
        <f>(0+E10+E7)*174</f>
        <v>174</v>
      </c>
      <c r="F37" s="31">
        <f>(0+F10+F7)*174</f>
        <v>174</v>
      </c>
    </row>
    <row r="38" spans="1:7" x14ac:dyDescent="0.25">
      <c r="B38" s="40" t="s">
        <v>117</v>
      </c>
      <c r="C38" s="9"/>
      <c r="D38" s="31">
        <f>D36-D27</f>
        <v>-147.57912380952416</v>
      </c>
      <c r="E38" s="31">
        <f t="shared" ref="E38:F38" si="3">E36-E27</f>
        <v>-208.7033333333336</v>
      </c>
      <c r="F38" s="31">
        <f t="shared" si="3"/>
        <v>-167.7033333333336</v>
      </c>
    </row>
    <row r="39" spans="1:7" x14ac:dyDescent="0.25">
      <c r="D39" s="33"/>
      <c r="E39" s="33"/>
      <c r="F39" s="33"/>
    </row>
    <row r="40" spans="1:7" x14ac:dyDescent="0.25">
      <c r="B40" s="40" t="s">
        <v>309</v>
      </c>
      <c r="C40" s="9"/>
      <c r="D40" s="34"/>
      <c r="E40" s="34"/>
      <c r="F40" s="34"/>
    </row>
    <row r="41" spans="1:7" ht="15" customHeight="1" x14ac:dyDescent="0.25">
      <c r="A41" s="81" t="s">
        <v>106</v>
      </c>
      <c r="B41" s="41" t="s">
        <v>363</v>
      </c>
      <c r="C41" s="22" t="s">
        <v>132</v>
      </c>
      <c r="D41" s="32">
        <f>IF($C41="Yes",258/3,0)</f>
        <v>0</v>
      </c>
      <c r="E41" s="32">
        <f t="shared" ref="E41:F41" si="4">IF($C41="Yes",258/3,0)</f>
        <v>0</v>
      </c>
      <c r="F41" s="32">
        <f t="shared" si="4"/>
        <v>0</v>
      </c>
    </row>
    <row r="42" spans="1:7" x14ac:dyDescent="0.25">
      <c r="A42" s="81"/>
      <c r="B42" s="41" t="s">
        <v>93</v>
      </c>
      <c r="C42" s="22" t="s">
        <v>131</v>
      </c>
      <c r="D42" s="32">
        <f>IF(AND(D2="Warden",$C42="Yes"),4099/25,0)</f>
        <v>0</v>
      </c>
      <c r="E42" s="32">
        <f>IF(AND(E2="Warden",$C42="Yes"),4099/25,0)</f>
        <v>0</v>
      </c>
      <c r="F42" s="32">
        <f>IF(AND(F2="Warden",$C42="Yes"),4099/25,0)</f>
        <v>0</v>
      </c>
    </row>
    <row r="43" spans="1:7" x14ac:dyDescent="0.25">
      <c r="A43" s="81"/>
      <c r="B43" s="41" t="s">
        <v>76</v>
      </c>
      <c r="C43" s="22" t="s">
        <v>131</v>
      </c>
      <c r="D43" s="32">
        <f>IF(AND(D2="Nightblade",$C43="Yes"),106*D24+4290/20,0)</f>
        <v>0</v>
      </c>
      <c r="E43" s="32">
        <f t="shared" ref="E43:F43" si="5">IF(AND(E2="Nightblade",$C43="Yes"),106*E24+4290/20,0)</f>
        <v>0</v>
      </c>
      <c r="F43" s="32">
        <f t="shared" si="5"/>
        <v>0</v>
      </c>
    </row>
    <row r="44" spans="1:7" x14ac:dyDescent="0.25">
      <c r="A44" s="81"/>
      <c r="B44" s="41" t="s">
        <v>95</v>
      </c>
      <c r="C44" s="22" t="s">
        <v>131</v>
      </c>
      <c r="D44" s="32">
        <f>IF(AND($C$44="Yes",D3="Redguard"),792/5,0)</f>
        <v>0</v>
      </c>
      <c r="E44" s="32">
        <f t="shared" ref="E44:F44" si="6">IF(AND($C$44="Yes",E3="Redguard"),792/5,0)</f>
        <v>158.4</v>
      </c>
      <c r="F44" s="32">
        <f t="shared" si="6"/>
        <v>0</v>
      </c>
    </row>
    <row r="45" spans="1:7" x14ac:dyDescent="0.25">
      <c r="A45" s="81"/>
      <c r="B45" s="41" t="s">
        <v>79</v>
      </c>
      <c r="C45" s="22" t="s">
        <v>131</v>
      </c>
      <c r="D45" s="32">
        <f>IF(AND($C45="Yes",+D2="Dragonknight"),(46*'Average Base Cost &amp; Ultigen'!E54)/('Average Base Cost &amp; Ultigen'!E54/'Average Base Cost &amp; Ultigen'!E55),0)</f>
        <v>0</v>
      </c>
      <c r="E45" s="32">
        <f>IF(AND($C45="Yes",+E2="Dragonknight"),(46*'Average Base Cost &amp; Ultigen'!L54)/('Average Base Cost &amp; Ultigen'!L54/'Average Base Cost &amp; Ultigen'!L55),0)</f>
        <v>0</v>
      </c>
      <c r="F45" s="32">
        <f>IF(AND($C45="Yes",+F2="Dragonknight"),(46*'Average Base Cost &amp; Ultigen'!S54)/('Average Base Cost &amp; Ultigen'!S54/'Average Base Cost &amp; Ultigen'!S55),0)</f>
        <v>0</v>
      </c>
    </row>
    <row r="46" spans="1:7" x14ac:dyDescent="0.25">
      <c r="A46" s="81"/>
      <c r="B46" s="41" t="s">
        <v>86</v>
      </c>
      <c r="C46" s="22" t="s">
        <v>131</v>
      </c>
      <c r="D46" s="35">
        <f>IF($C46="Yes",3960/20,0)</f>
        <v>198</v>
      </c>
      <c r="E46" s="35">
        <f t="shared" ref="E46:F46" si="7">IF($C46="Yes",3960/20,0)</f>
        <v>198</v>
      </c>
      <c r="F46" s="35">
        <f t="shared" si="7"/>
        <v>198</v>
      </c>
    </row>
    <row r="47" spans="1:7" x14ac:dyDescent="0.25">
      <c r="B47" s="41" t="s">
        <v>138</v>
      </c>
      <c r="C47" s="22" t="s">
        <v>131</v>
      </c>
      <c r="D47" s="35">
        <f>IF($C47="Yes",7762/45+IF(D3="Argonian",4620/45,0),0)</f>
        <v>172.48888888888888</v>
      </c>
      <c r="E47" s="35">
        <f>IF($C47="Yes",7762/45+IF(E3="Argonian",4620/45,0),0)</f>
        <v>172.48888888888888</v>
      </c>
      <c r="F47" s="35">
        <f>IF($C47="Yes",7762/45+IF(F3="Argonian",4620/45,0),0)</f>
        <v>172.48888888888888</v>
      </c>
    </row>
    <row r="48" spans="1:7" x14ac:dyDescent="0.25">
      <c r="B48" s="41" t="s">
        <v>120</v>
      </c>
      <c r="C48" s="22" t="s">
        <v>131</v>
      </c>
      <c r="D48" s="35">
        <f>IF($C48="Yes",+D8*108/4,0)</f>
        <v>0</v>
      </c>
      <c r="E48" s="35">
        <f t="shared" ref="E48:F48" si="8">IF($C48="Yes",+E8*108/4,0)</f>
        <v>0</v>
      </c>
      <c r="F48" s="35">
        <f t="shared" si="8"/>
        <v>0</v>
      </c>
    </row>
    <row r="49" spans="1:6" x14ac:dyDescent="0.25">
      <c r="B49" s="41" t="s">
        <v>180</v>
      </c>
      <c r="C49" s="22" t="s">
        <v>131</v>
      </c>
      <c r="D49" s="35">
        <f>IFERROR(VLOOKUP(B49,'Average Base Cost &amp; Ultigen'!B33:C52,2,FALSE),0)*4696/'Average Base Cost &amp; Ultigen'!B31</f>
        <v>0</v>
      </c>
      <c r="E49" s="35">
        <f>IFERROR(VLOOKUP(C49,'Average Base Cost &amp; Ultigen'!I33:J52,2,FALSE),0)*4696/'Average Base Cost &amp; Ultigen'!I31</f>
        <v>0</v>
      </c>
      <c r="F49" s="35">
        <f>IFERROR(VLOOKUP(D49,'Average Base Cost &amp; Ultigen'!P33:Q52,2,FALSE),0)*4696/'Average Base Cost &amp; Ultigen'!P31</f>
        <v>0</v>
      </c>
    </row>
    <row r="50" spans="1:6" x14ac:dyDescent="0.25">
      <c r="B50" s="41" t="s">
        <v>94</v>
      </c>
      <c r="C50" s="22" t="s">
        <v>131</v>
      </c>
      <c r="D50" s="32">
        <f>IF($C50="Yes",238*0.3,0)</f>
        <v>71.399999999999991</v>
      </c>
      <c r="E50" s="32">
        <f t="shared" ref="E50:F50" si="9">IF($C50="Yes",238*0.3,0)</f>
        <v>71.399999999999991</v>
      </c>
      <c r="F50" s="32">
        <f t="shared" si="9"/>
        <v>71.399999999999991</v>
      </c>
    </row>
    <row r="51" spans="1:6" x14ac:dyDescent="0.25">
      <c r="B51" s="39" t="s">
        <v>307</v>
      </c>
      <c r="C51" s="22" t="str">
        <f>IF(C47="Yes","Yes","No")</f>
        <v>Yes</v>
      </c>
      <c r="D51" s="28">
        <f>IF($C51="Yes",20%,0)</f>
        <v>0.2</v>
      </c>
      <c r="E51" s="28">
        <f>IF($C51="Yes",20%,0)</f>
        <v>0.2</v>
      </c>
      <c r="F51" s="28">
        <f>IF($C51="Yes",20%,0)</f>
        <v>0.2</v>
      </c>
    </row>
    <row r="52" spans="1:6" x14ac:dyDescent="0.25">
      <c r="B52" s="39" t="s">
        <v>308</v>
      </c>
      <c r="C52" s="22" t="s">
        <v>131</v>
      </c>
      <c r="D52" s="28">
        <f t="shared" ref="D52:F53" si="10">IF($C52="Yes",10%,0)</f>
        <v>0.1</v>
      </c>
      <c r="E52" s="28">
        <f t="shared" si="10"/>
        <v>0.1</v>
      </c>
      <c r="F52" s="28">
        <f t="shared" si="10"/>
        <v>0.1</v>
      </c>
    </row>
    <row r="53" spans="1:6" x14ac:dyDescent="0.25">
      <c r="B53" s="39" t="s">
        <v>139</v>
      </c>
      <c r="C53" s="22" t="s">
        <v>131</v>
      </c>
      <c r="D53" s="28">
        <f t="shared" si="10"/>
        <v>0.1</v>
      </c>
      <c r="E53" s="28">
        <f t="shared" si="10"/>
        <v>0.1</v>
      </c>
      <c r="F53" s="28">
        <f t="shared" si="10"/>
        <v>0.1</v>
      </c>
    </row>
    <row r="54" spans="1:6" x14ac:dyDescent="0.25">
      <c r="B54" s="39" t="s">
        <v>365</v>
      </c>
      <c r="C54" s="80"/>
      <c r="D54" s="32">
        <v>0</v>
      </c>
      <c r="E54" s="32">
        <v>0</v>
      </c>
      <c r="F54" s="32">
        <v>0</v>
      </c>
    </row>
    <row r="55" spans="1:6" x14ac:dyDescent="0.25">
      <c r="B55" s="40" t="s">
        <v>88</v>
      </c>
      <c r="C55" s="9"/>
      <c r="D55" s="34">
        <f>D34+SUM(D41:D50)+D54</f>
        <v>1136.8888888888889</v>
      </c>
      <c r="E55" s="34">
        <f t="shared" ref="E55:F55" si="11">E34+SUM(E41:E50)+E54</f>
        <v>1292.2888888888888</v>
      </c>
      <c r="F55" s="34">
        <f t="shared" si="11"/>
        <v>1174.8888888888889</v>
      </c>
    </row>
    <row r="56" spans="1:6" x14ac:dyDescent="0.25">
      <c r="B56" s="40" t="s">
        <v>152</v>
      </c>
      <c r="C56" s="9"/>
      <c r="D56" s="34">
        <f>D46+(D30+D32)*D53</f>
        <v>266.8</v>
      </c>
      <c r="E56" s="34">
        <f>E46+(E30+E32)*E53</f>
        <v>266.8</v>
      </c>
      <c r="F56" s="34">
        <f>F46+(F30+F32)*F53</f>
        <v>266.8</v>
      </c>
    </row>
    <row r="57" spans="1:6" x14ac:dyDescent="0.25">
      <c r="B57" s="44"/>
      <c r="C57" s="10"/>
      <c r="D57" s="33"/>
      <c r="E57" s="33"/>
      <c r="F57" s="33"/>
    </row>
    <row r="58" spans="1:6" x14ac:dyDescent="0.25">
      <c r="B58" s="44"/>
      <c r="C58" s="10"/>
      <c r="D58" s="33"/>
      <c r="E58" s="33"/>
      <c r="F58" s="33"/>
    </row>
    <row r="59" spans="1:6" ht="15" customHeight="1" x14ac:dyDescent="0.25">
      <c r="A59" s="81" t="s">
        <v>107</v>
      </c>
      <c r="B59" s="40" t="s">
        <v>85</v>
      </c>
      <c r="C59" s="9"/>
      <c r="D59" s="34"/>
      <c r="E59" s="34"/>
      <c r="F59" s="34"/>
    </row>
    <row r="60" spans="1:6" x14ac:dyDescent="0.25">
      <c r="A60" s="81"/>
      <c r="B60" s="41" t="s">
        <v>84</v>
      </c>
      <c r="C60" s="8"/>
      <c r="D60" s="31" t="str">
        <f>D17</f>
        <v>Dual Wield</v>
      </c>
      <c r="E60" s="31" t="str">
        <f t="shared" ref="E60:F60" si="12">E17</f>
        <v>Dual Wield</v>
      </c>
      <c r="F60" s="31" t="str">
        <f t="shared" si="12"/>
        <v>Dual Wield</v>
      </c>
    </row>
    <row r="61" spans="1:6" x14ac:dyDescent="0.25">
      <c r="A61" s="81"/>
      <c r="B61" s="41" t="s">
        <v>104</v>
      </c>
      <c r="C61" s="8"/>
      <c r="D61" s="38">
        <f t="shared" ref="D61:F61" si="13">D18</f>
        <v>0.14000000000000001</v>
      </c>
      <c r="E61" s="38">
        <f t="shared" si="13"/>
        <v>0.14000000000000001</v>
      </c>
      <c r="F61" s="38">
        <f t="shared" si="13"/>
        <v>0.14000000000000001</v>
      </c>
    </row>
    <row r="62" spans="1:6" x14ac:dyDescent="0.25">
      <c r="A62" s="81"/>
      <c r="B62" s="41" t="s">
        <v>80</v>
      </c>
      <c r="C62" s="8"/>
      <c r="D62" s="31">
        <f t="shared" ref="D62:F62" si="14">D19</f>
        <v>0</v>
      </c>
      <c r="E62" s="31">
        <f t="shared" si="14"/>
        <v>0</v>
      </c>
      <c r="F62" s="31">
        <f t="shared" si="14"/>
        <v>0</v>
      </c>
    </row>
    <row r="63" spans="1:6" x14ac:dyDescent="0.25">
      <c r="A63" s="81"/>
      <c r="B63" s="41" t="s">
        <v>310</v>
      </c>
      <c r="C63" s="8"/>
      <c r="D63" s="31">
        <f>D62*VLOOKUP(D60,'Class Data (Do not modify)'!$A$35:$B$40,2,FALSE)*(1+D61)/'Average Base Cost &amp; Ultigen'!B31</f>
        <v>0</v>
      </c>
      <c r="E63" s="31">
        <f>E62*VLOOKUP(E60,'Class Data (Do not modify)'!$A$35:$B$40,2,FALSE)*(1+E61)/'Average Base Cost &amp; Ultigen'!I31</f>
        <v>0</v>
      </c>
      <c r="F63" s="31">
        <f>F62*VLOOKUP(F60,'Class Data (Do not modify)'!$A$35:$B$40,2,FALSE)*(1+F61)/'Average Base Cost &amp; Ultigen'!P31</f>
        <v>0</v>
      </c>
    </row>
    <row r="64" spans="1:6" x14ac:dyDescent="0.25">
      <c r="A64" s="81"/>
      <c r="D64" s="33"/>
      <c r="E64" s="33"/>
      <c r="F64" s="33"/>
    </row>
    <row r="65" spans="1:6" x14ac:dyDescent="0.25">
      <c r="D65" s="33"/>
      <c r="E65" s="33"/>
      <c r="F65" s="33"/>
    </row>
    <row r="66" spans="1:6" x14ac:dyDescent="0.25">
      <c r="D66" s="33"/>
      <c r="E66" s="33"/>
      <c r="F66" s="33"/>
    </row>
    <row r="67" spans="1:6" ht="18.75" x14ac:dyDescent="0.3">
      <c r="A67" s="18" t="s">
        <v>109</v>
      </c>
      <c r="B67" s="45" t="s">
        <v>114</v>
      </c>
      <c r="C67" s="17"/>
      <c r="D67" s="36">
        <f>-D27+D55+D63</f>
        <v>-163.11111111111109</v>
      </c>
      <c r="E67" s="36">
        <f>-E27+E55+E63</f>
        <v>-95.711111111111222</v>
      </c>
      <c r="F67" s="36">
        <f>-F27+F55+F63</f>
        <v>-213.11111111111109</v>
      </c>
    </row>
    <row r="69" spans="1:6" x14ac:dyDescent="0.25">
      <c r="B69"/>
    </row>
    <row r="70" spans="1:6" x14ac:dyDescent="0.25">
      <c r="B70"/>
    </row>
  </sheetData>
  <mergeCells count="5">
    <mergeCell ref="A23:A28"/>
    <mergeCell ref="A30:A35"/>
    <mergeCell ref="A41:A46"/>
    <mergeCell ref="A59:A64"/>
    <mergeCell ref="A2:A7"/>
  </mergeCells>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DraintestMag1">
                <anchor moveWithCells="1" sizeWithCells="1">
                  <from>
                    <xdr:col>2</xdr:col>
                    <xdr:colOff>962025</xdr:colOff>
                    <xdr:row>21</xdr:row>
                    <xdr:rowOff>9525</xdr:rowOff>
                  </from>
                  <to>
                    <xdr:col>4</xdr:col>
                    <xdr:colOff>0</xdr:colOff>
                    <xdr:row>22</xdr:row>
                    <xdr:rowOff>9525</xdr:rowOff>
                  </to>
                </anchor>
              </controlPr>
            </control>
          </mc:Choice>
        </mc:AlternateContent>
        <mc:AlternateContent xmlns:mc="http://schemas.openxmlformats.org/markup-compatibility/2006">
          <mc:Choice Requires="x14">
            <control shapeId="4098" r:id="rId4" name="Button 2">
              <controlPr defaultSize="0" print="0" autoFill="0" autoPict="0" macro="[0]!DrainTestMag2">
                <anchor moveWithCells="1" sizeWithCells="1">
                  <from>
                    <xdr:col>4</xdr:col>
                    <xdr:colOff>0</xdr:colOff>
                    <xdr:row>21</xdr:row>
                    <xdr:rowOff>9525</xdr:rowOff>
                  </from>
                  <to>
                    <xdr:col>5</xdr:col>
                    <xdr:colOff>19050</xdr:colOff>
                    <xdr:row>22</xdr:row>
                    <xdr:rowOff>9525</xdr:rowOff>
                  </to>
                </anchor>
              </controlPr>
            </control>
          </mc:Choice>
        </mc:AlternateContent>
        <mc:AlternateContent xmlns:mc="http://schemas.openxmlformats.org/markup-compatibility/2006">
          <mc:Choice Requires="x14">
            <control shapeId="4099" r:id="rId5" name="Button 3">
              <controlPr defaultSize="0" print="0" autoFill="0" autoPict="0" macro="[0]!DrainTestMag3">
                <anchor moveWithCells="1" sizeWithCells="1">
                  <from>
                    <xdr:col>5</xdr:col>
                    <xdr:colOff>9525</xdr:colOff>
                    <xdr:row>21</xdr:row>
                    <xdr:rowOff>9525</xdr:rowOff>
                  </from>
                  <to>
                    <xdr:col>6</xdr:col>
                    <xdr:colOff>28575</xdr:colOff>
                    <xdr:row>22</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7">
        <x14:dataValidation type="list" allowBlank="1" showInputMessage="1" showErrorMessage="1">
          <x14:formula1>
            <xm:f>'Class Data (Do not modify)'!$E$2:$E$8</xm:f>
          </x14:formula1>
          <xm:sqref>D15:F15 D8:F8 D6:F6</xm:sqref>
        </x14:dataValidation>
        <x14:dataValidation type="list" allowBlank="1" showInputMessage="1" showErrorMessage="1">
          <x14:formula1>
            <xm:f>'Class Data (Do not modify)'!$B$2:$B$5</xm:f>
          </x14:formula1>
          <xm:sqref>D10:F10 D7:F7</xm:sqref>
        </x14:dataValidation>
        <x14:dataValidation type="list" allowBlank="1" showInputMessage="1" showErrorMessage="1">
          <x14:formula1>
            <xm:f>'Class Data (Do not modify)'!$A$30:$A$31</xm:f>
          </x14:formula1>
          <xm:sqref>D5:F5 C41:C50 C52:C54</xm:sqref>
        </x14:dataValidation>
        <x14:dataValidation type="list" allowBlank="1" showInputMessage="1" showErrorMessage="1">
          <x14:formula1>
            <xm:f>'Class Data (Do not modify)'!$A$19:$A$28</xm:f>
          </x14:formula1>
          <xm:sqref>D3:F3</xm:sqref>
        </x14:dataValidation>
        <x14:dataValidation type="list" allowBlank="1" showInputMessage="1" showErrorMessage="1">
          <x14:formula1>
            <xm:f>'Class Data (Do not modify)'!$A$2:$A$8</xm:f>
          </x14:formula1>
          <xm:sqref>D9:F9</xm:sqref>
        </x14:dataValidation>
        <x14:dataValidation type="list" allowBlank="1" showInputMessage="1" showErrorMessage="1">
          <x14:formula1>
            <xm:f>'Class Data (Do not modify)'!$C$2:$C$6</xm:f>
          </x14:formula1>
          <xm:sqref>D2:F2</xm:sqref>
        </x14:dataValidation>
        <x14:dataValidation type="list" allowBlank="1" showInputMessage="1" showErrorMessage="1">
          <x14:formula1>
            <xm:f>'Class Data (Do not modify)'!$A$37:$A$40</xm:f>
          </x14:formula1>
          <xm:sqref>D17:F17</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I58"/>
  <sheetViews>
    <sheetView workbookViewId="0">
      <selection activeCell="H11" sqref="H11"/>
    </sheetView>
  </sheetViews>
  <sheetFormatPr baseColWidth="10" defaultColWidth="10.7109375" defaultRowHeight="15" x14ac:dyDescent="0.25"/>
  <cols>
    <col min="1" max="1" width="15.7109375" bestFit="1" customWidth="1"/>
    <col min="8" max="8" width="18.28515625" bestFit="1" customWidth="1"/>
  </cols>
  <sheetData>
    <row r="1" spans="1:9" x14ac:dyDescent="0.25">
      <c r="A1" t="s">
        <v>9</v>
      </c>
      <c r="B1" t="s">
        <v>10</v>
      </c>
      <c r="C1" t="s">
        <v>17</v>
      </c>
      <c r="D1" t="s">
        <v>23</v>
      </c>
      <c r="E1" t="s">
        <v>43</v>
      </c>
      <c r="H1" t="s">
        <v>121</v>
      </c>
    </row>
    <row r="2" spans="1:9" x14ac:dyDescent="0.25">
      <c r="A2">
        <v>1</v>
      </c>
      <c r="B2">
        <v>0</v>
      </c>
      <c r="C2" t="s">
        <v>8</v>
      </c>
      <c r="D2" t="s">
        <v>24</v>
      </c>
      <c r="E2">
        <v>0</v>
      </c>
      <c r="H2" t="s">
        <v>81</v>
      </c>
      <c r="I2">
        <v>250</v>
      </c>
    </row>
    <row r="3" spans="1:9" x14ac:dyDescent="0.25">
      <c r="A3">
        <v>2</v>
      </c>
      <c r="B3">
        <v>1</v>
      </c>
      <c r="C3" t="s">
        <v>13</v>
      </c>
      <c r="D3" t="s">
        <v>25</v>
      </c>
      <c r="E3">
        <v>1</v>
      </c>
      <c r="H3" t="s">
        <v>124</v>
      </c>
      <c r="I3">
        <v>250</v>
      </c>
    </row>
    <row r="4" spans="1:9" x14ac:dyDescent="0.25">
      <c r="A4">
        <v>3</v>
      </c>
      <c r="B4">
        <v>2</v>
      </c>
      <c r="C4" t="s">
        <v>14</v>
      </c>
      <c r="E4">
        <v>2</v>
      </c>
      <c r="H4" t="s">
        <v>125</v>
      </c>
      <c r="I4">
        <v>200</v>
      </c>
    </row>
    <row r="5" spans="1:9" x14ac:dyDescent="0.25">
      <c r="A5">
        <v>4</v>
      </c>
      <c r="B5">
        <v>3</v>
      </c>
      <c r="C5" t="s">
        <v>15</v>
      </c>
      <c r="E5">
        <v>3</v>
      </c>
      <c r="H5" t="s">
        <v>126</v>
      </c>
      <c r="I5">
        <v>125</v>
      </c>
    </row>
    <row r="6" spans="1:9" x14ac:dyDescent="0.25">
      <c r="A6">
        <v>5</v>
      </c>
      <c r="C6" t="s">
        <v>16</v>
      </c>
      <c r="E6">
        <v>4</v>
      </c>
      <c r="H6" t="s">
        <v>127</v>
      </c>
      <c r="I6">
        <v>125</v>
      </c>
    </row>
    <row r="7" spans="1:9" x14ac:dyDescent="0.25">
      <c r="A7">
        <v>6</v>
      </c>
      <c r="E7">
        <v>5</v>
      </c>
      <c r="H7" t="s">
        <v>92</v>
      </c>
      <c r="I7">
        <v>175</v>
      </c>
    </row>
    <row r="8" spans="1:9" x14ac:dyDescent="0.25">
      <c r="A8">
        <v>7</v>
      </c>
      <c r="E8">
        <v>6</v>
      </c>
      <c r="H8" t="s">
        <v>274</v>
      </c>
      <c r="I8">
        <v>200</v>
      </c>
    </row>
    <row r="9" spans="1:9" x14ac:dyDescent="0.25">
      <c r="H9" t="s">
        <v>275</v>
      </c>
      <c r="I9">
        <v>150</v>
      </c>
    </row>
    <row r="10" spans="1:9" x14ac:dyDescent="0.25">
      <c r="H10" t="s">
        <v>276</v>
      </c>
      <c r="I10">
        <v>250</v>
      </c>
    </row>
    <row r="12" spans="1:9" x14ac:dyDescent="0.25">
      <c r="A12" t="s">
        <v>12</v>
      </c>
      <c r="B12" t="s">
        <v>20</v>
      </c>
      <c r="C12" t="s">
        <v>21</v>
      </c>
      <c r="D12" t="s">
        <v>22</v>
      </c>
      <c r="E12" t="s">
        <v>338</v>
      </c>
      <c r="F12" t="s">
        <v>339</v>
      </c>
    </row>
    <row r="13" spans="1:9" x14ac:dyDescent="0.25">
      <c r="A13" t="s">
        <v>8</v>
      </c>
      <c r="B13" s="1">
        <v>0</v>
      </c>
      <c r="C13" s="1">
        <v>0.15</v>
      </c>
      <c r="D13" s="1">
        <v>0.15</v>
      </c>
      <c r="E13" t="s">
        <v>328</v>
      </c>
      <c r="F13" t="s">
        <v>329</v>
      </c>
    </row>
    <row r="14" spans="1:9" x14ac:dyDescent="0.25">
      <c r="A14" t="s">
        <v>16</v>
      </c>
      <c r="B14" s="1">
        <v>0.04</v>
      </c>
      <c r="C14" s="1">
        <v>0</v>
      </c>
      <c r="D14" s="1">
        <v>0</v>
      </c>
      <c r="E14" t="s">
        <v>330</v>
      </c>
      <c r="F14" t="s">
        <v>331</v>
      </c>
    </row>
    <row r="15" spans="1:9" x14ac:dyDescent="0.25">
      <c r="A15" t="s">
        <v>15</v>
      </c>
      <c r="B15" s="1">
        <v>0.05</v>
      </c>
      <c r="C15" s="1">
        <v>0.1</v>
      </c>
      <c r="D15" s="1">
        <v>0.2</v>
      </c>
      <c r="E15" t="s">
        <v>337</v>
      </c>
      <c r="F15" t="s">
        <v>332</v>
      </c>
    </row>
    <row r="16" spans="1:9" x14ac:dyDescent="0.25">
      <c r="A16" t="s">
        <v>14</v>
      </c>
      <c r="B16" s="1">
        <v>0</v>
      </c>
      <c r="C16" s="1">
        <v>0</v>
      </c>
      <c r="D16" s="1">
        <v>0</v>
      </c>
      <c r="E16" t="s">
        <v>333</v>
      </c>
      <c r="F16" t="s">
        <v>334</v>
      </c>
    </row>
    <row r="17" spans="1:6" x14ac:dyDescent="0.25">
      <c r="A17" t="s">
        <v>13</v>
      </c>
      <c r="B17" s="1">
        <v>0</v>
      </c>
      <c r="C17" s="1">
        <v>0.12</v>
      </c>
      <c r="D17" s="1">
        <v>0.12</v>
      </c>
      <c r="E17" t="s">
        <v>335</v>
      </c>
      <c r="F17" t="s">
        <v>336</v>
      </c>
    </row>
    <row r="18" spans="1:6" x14ac:dyDescent="0.25">
      <c r="A18" t="s">
        <v>19</v>
      </c>
      <c r="B18" t="s">
        <v>20</v>
      </c>
      <c r="C18" t="s">
        <v>21</v>
      </c>
      <c r="D18" t="s">
        <v>22</v>
      </c>
      <c r="E18" t="s">
        <v>325</v>
      </c>
    </row>
    <row r="19" spans="1:6" x14ac:dyDescent="0.25">
      <c r="A19" t="s">
        <v>26</v>
      </c>
      <c r="B19" s="1">
        <v>0</v>
      </c>
      <c r="C19" s="1">
        <v>0.09</v>
      </c>
      <c r="D19" s="1">
        <v>0</v>
      </c>
      <c r="E19">
        <v>0</v>
      </c>
    </row>
    <row r="20" spans="1:6" x14ac:dyDescent="0.25">
      <c r="A20" t="s">
        <v>27</v>
      </c>
      <c r="B20" s="1">
        <v>0</v>
      </c>
      <c r="C20" s="1">
        <v>0</v>
      </c>
      <c r="D20" s="1">
        <v>0</v>
      </c>
      <c r="E20" t="s">
        <v>327</v>
      </c>
    </row>
    <row r="21" spans="1:6" x14ac:dyDescent="0.25">
      <c r="A21" t="s">
        <v>28</v>
      </c>
      <c r="B21" s="1">
        <v>0.03</v>
      </c>
      <c r="C21" s="1">
        <v>0</v>
      </c>
      <c r="D21" s="1">
        <v>0</v>
      </c>
      <c r="E21">
        <v>0</v>
      </c>
    </row>
    <row r="22" spans="1:6" x14ac:dyDescent="0.25">
      <c r="A22" t="s">
        <v>29</v>
      </c>
      <c r="B22" s="1">
        <v>0</v>
      </c>
      <c r="C22" s="1">
        <v>0</v>
      </c>
      <c r="D22" s="1">
        <v>0</v>
      </c>
      <c r="E22">
        <v>0</v>
      </c>
    </row>
    <row r="23" spans="1:6" x14ac:dyDescent="0.25">
      <c r="A23" t="s">
        <v>30</v>
      </c>
      <c r="B23" s="1">
        <v>0</v>
      </c>
      <c r="C23" s="1">
        <v>0</v>
      </c>
      <c r="D23" s="1">
        <v>0.1</v>
      </c>
      <c r="E23">
        <v>0</v>
      </c>
    </row>
    <row r="24" spans="1:6" x14ac:dyDescent="0.25">
      <c r="A24" t="s">
        <v>31</v>
      </c>
      <c r="B24" s="1">
        <v>0</v>
      </c>
      <c r="C24" s="1">
        <v>0</v>
      </c>
      <c r="D24" s="1">
        <v>0.09</v>
      </c>
      <c r="E24" t="s">
        <v>326</v>
      </c>
    </row>
    <row r="25" spans="1:6" x14ac:dyDescent="0.25">
      <c r="A25" t="s">
        <v>32</v>
      </c>
      <c r="B25" s="1">
        <v>0</v>
      </c>
      <c r="C25" s="1">
        <v>0</v>
      </c>
      <c r="D25" s="1">
        <v>0.21</v>
      </c>
      <c r="E25">
        <v>0</v>
      </c>
    </row>
    <row r="26" spans="1:6" x14ac:dyDescent="0.25">
      <c r="A26" t="s">
        <v>33</v>
      </c>
      <c r="B26" s="1">
        <v>0</v>
      </c>
      <c r="C26" s="1">
        <v>0</v>
      </c>
      <c r="D26" s="1">
        <v>0</v>
      </c>
      <c r="E26">
        <v>0</v>
      </c>
    </row>
    <row r="27" spans="1:6" x14ac:dyDescent="0.25">
      <c r="A27" t="s">
        <v>34</v>
      </c>
      <c r="B27" s="1">
        <v>0</v>
      </c>
      <c r="C27" s="1">
        <v>0</v>
      </c>
      <c r="D27" s="1">
        <v>0</v>
      </c>
      <c r="E27">
        <v>0</v>
      </c>
    </row>
    <row r="28" spans="1:6" x14ac:dyDescent="0.25">
      <c r="A28" t="s">
        <v>35</v>
      </c>
      <c r="B28" s="1">
        <v>0</v>
      </c>
      <c r="C28" s="1">
        <v>0</v>
      </c>
      <c r="D28" s="1">
        <v>0</v>
      </c>
      <c r="E28">
        <v>0</v>
      </c>
    </row>
    <row r="29" spans="1:6" x14ac:dyDescent="0.25">
      <c r="A29" t="s">
        <v>7</v>
      </c>
    </row>
    <row r="30" spans="1:6" x14ac:dyDescent="0.25">
      <c r="A30" t="s">
        <v>131</v>
      </c>
      <c r="B30" s="1">
        <v>0.1</v>
      </c>
    </row>
    <row r="31" spans="1:6" x14ac:dyDescent="0.25">
      <c r="A31" t="s">
        <v>132</v>
      </c>
      <c r="B31" s="1">
        <v>0</v>
      </c>
    </row>
    <row r="34" spans="1:2" x14ac:dyDescent="0.25">
      <c r="A34" t="s">
        <v>85</v>
      </c>
    </row>
    <row r="35" spans="1:2" x14ac:dyDescent="0.25">
      <c r="A35" t="s">
        <v>97</v>
      </c>
      <c r="B35">
        <f>2476</f>
        <v>2476</v>
      </c>
    </row>
    <row r="36" spans="1:2" x14ac:dyDescent="0.25">
      <c r="A36" t="s">
        <v>98</v>
      </c>
      <c r="B36">
        <f>ROUND(2476*1.3,0)</f>
        <v>3219</v>
      </c>
    </row>
    <row r="37" spans="1:2" x14ac:dyDescent="0.25">
      <c r="A37" t="s">
        <v>99</v>
      </c>
      <c r="B37">
        <v>1386</v>
      </c>
    </row>
    <row r="38" spans="1:2" x14ac:dyDescent="0.25">
      <c r="A38" t="s">
        <v>100</v>
      </c>
      <c r="B38">
        <v>2327</v>
      </c>
    </row>
    <row r="39" spans="1:2" x14ac:dyDescent="0.25">
      <c r="A39" t="s">
        <v>101</v>
      </c>
      <c r="B39">
        <v>1865</v>
      </c>
    </row>
    <row r="40" spans="1:2" x14ac:dyDescent="0.25">
      <c r="A40" t="s">
        <v>102</v>
      </c>
      <c r="B40">
        <v>1551</v>
      </c>
    </row>
    <row r="42" spans="1:2" x14ac:dyDescent="0.25">
      <c r="A42" t="s">
        <v>105</v>
      </c>
    </row>
    <row r="43" spans="1:2" x14ac:dyDescent="0.25">
      <c r="A43" s="1">
        <v>0</v>
      </c>
    </row>
    <row r="44" spans="1:2" x14ac:dyDescent="0.25">
      <c r="A44" s="1">
        <v>0.01</v>
      </c>
    </row>
    <row r="45" spans="1:2" x14ac:dyDescent="0.25">
      <c r="A45" s="1">
        <v>0.02</v>
      </c>
    </row>
    <row r="46" spans="1:2" x14ac:dyDescent="0.25">
      <c r="A46" s="1">
        <v>0.03</v>
      </c>
    </row>
    <row r="47" spans="1:2" x14ac:dyDescent="0.25">
      <c r="A47" s="1">
        <v>0.04</v>
      </c>
    </row>
    <row r="48" spans="1:2" x14ac:dyDescent="0.25">
      <c r="A48" s="1">
        <v>0.05</v>
      </c>
    </row>
    <row r="49" spans="1:1" x14ac:dyDescent="0.25">
      <c r="A49" s="1">
        <v>0.06</v>
      </c>
    </row>
    <row r="50" spans="1:1" x14ac:dyDescent="0.25">
      <c r="A50" s="1">
        <v>7.0000000000000007E-2</v>
      </c>
    </row>
    <row r="51" spans="1:1" x14ac:dyDescent="0.25">
      <c r="A51" s="1">
        <v>0.08</v>
      </c>
    </row>
    <row r="52" spans="1:1" x14ac:dyDescent="0.25">
      <c r="A52" s="1">
        <v>0.09</v>
      </c>
    </row>
    <row r="53" spans="1:1" x14ac:dyDescent="0.25">
      <c r="A53" s="1">
        <v>0.1</v>
      </c>
    </row>
    <row r="54" spans="1:1" x14ac:dyDescent="0.25">
      <c r="A54" s="1">
        <v>0.11</v>
      </c>
    </row>
    <row r="55" spans="1:1" x14ac:dyDescent="0.25">
      <c r="A55" s="1">
        <v>0.12</v>
      </c>
    </row>
    <row r="56" spans="1:1" x14ac:dyDescent="0.25">
      <c r="A56" s="1">
        <v>0.13</v>
      </c>
    </row>
    <row r="57" spans="1:1" x14ac:dyDescent="0.25">
      <c r="A57" s="1">
        <v>0.14000000000000001</v>
      </c>
    </row>
    <row r="58" spans="1:1" x14ac:dyDescent="0.25">
      <c r="A58" s="1">
        <v>0.15</v>
      </c>
    </row>
  </sheetData>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6"/>
  <dimension ref="A1:F149"/>
  <sheetViews>
    <sheetView topLeftCell="B74" workbookViewId="0">
      <selection activeCell="D2" sqref="D2"/>
    </sheetView>
  </sheetViews>
  <sheetFormatPr baseColWidth="10" defaultColWidth="10.7109375" defaultRowHeight="15" x14ac:dyDescent="0.25"/>
  <cols>
    <col min="1" max="1" width="37.7109375" bestFit="1" customWidth="1"/>
    <col min="3" max="3" width="20" bestFit="1" customWidth="1"/>
  </cols>
  <sheetData>
    <row r="1" spans="1:6" x14ac:dyDescent="0.25">
      <c r="A1" t="s">
        <v>60</v>
      </c>
      <c r="B1" t="s">
        <v>59</v>
      </c>
      <c r="C1" t="s">
        <v>303</v>
      </c>
      <c r="D1" t="s">
        <v>12</v>
      </c>
      <c r="E1" t="s">
        <v>23</v>
      </c>
    </row>
    <row r="2" spans="1:6" x14ac:dyDescent="0.25">
      <c r="A2" t="s">
        <v>304</v>
      </c>
      <c r="B2">
        <v>0</v>
      </c>
      <c r="C2" t="s">
        <v>353</v>
      </c>
      <c r="D2" t="s">
        <v>366</v>
      </c>
      <c r="E2" t="s">
        <v>322</v>
      </c>
      <c r="F2" t="str">
        <f>_xlfn.TEXTJOIN(" - ",1,D2,C2,A2)</f>
        <v>All Classes - AAA - Empty</v>
      </c>
    </row>
    <row r="3" spans="1:6" x14ac:dyDescent="0.25">
      <c r="A3" t="s">
        <v>236</v>
      </c>
      <c r="B3">
        <v>3510</v>
      </c>
      <c r="C3" t="s">
        <v>291</v>
      </c>
      <c r="D3" t="s">
        <v>366</v>
      </c>
      <c r="E3" t="s">
        <v>24</v>
      </c>
      <c r="F3" t="str">
        <f t="shared" ref="F3:F66" si="0">_xlfn.TEXTJOIN(" - ",1,D3,C3,A3)</f>
        <v>All Classes - Assault - Razor Caltrops</v>
      </c>
    </row>
    <row r="4" spans="1:6" x14ac:dyDescent="0.25">
      <c r="A4" t="s">
        <v>237</v>
      </c>
      <c r="B4">
        <v>3510</v>
      </c>
      <c r="C4" t="s">
        <v>291</v>
      </c>
      <c r="D4" t="s">
        <v>366</v>
      </c>
      <c r="E4" t="s">
        <v>24</v>
      </c>
      <c r="F4" t="str">
        <f t="shared" si="0"/>
        <v>All Classes - Assault - Resolving/Echoing Vigor</v>
      </c>
    </row>
    <row r="5" spans="1:6" x14ac:dyDescent="0.25">
      <c r="A5" t="s">
        <v>238</v>
      </c>
      <c r="B5">
        <v>4050</v>
      </c>
      <c r="C5" t="s">
        <v>291</v>
      </c>
      <c r="D5" t="s">
        <v>366</v>
      </c>
      <c r="E5" t="s">
        <v>25</v>
      </c>
      <c r="F5" t="str">
        <f t="shared" si="0"/>
        <v>All Classes - Assault - Proximity Detonation</v>
      </c>
    </row>
    <row r="6" spans="1:6" x14ac:dyDescent="0.25">
      <c r="A6" t="s">
        <v>231</v>
      </c>
      <c r="B6">
        <v>2754</v>
      </c>
      <c r="C6" t="s">
        <v>100</v>
      </c>
      <c r="D6" t="s">
        <v>366</v>
      </c>
      <c r="E6" t="s">
        <v>24</v>
      </c>
      <c r="F6" t="str">
        <f t="shared" si="0"/>
        <v>All Classes - Bow - Lethal Arrow/Focused Aim</v>
      </c>
    </row>
    <row r="7" spans="1:6" x14ac:dyDescent="0.25">
      <c r="A7" t="s">
        <v>341</v>
      </c>
      <c r="B7">
        <v>2984.35</v>
      </c>
      <c r="C7" t="s">
        <v>100</v>
      </c>
      <c r="D7" t="s">
        <v>366</v>
      </c>
      <c r="E7" t="s">
        <v>24</v>
      </c>
      <c r="F7" t="str">
        <f t="shared" si="0"/>
        <v>All Classes - Bow - Endless Hail</v>
      </c>
    </row>
    <row r="8" spans="1:6" x14ac:dyDescent="0.25">
      <c r="A8" t="s">
        <v>233</v>
      </c>
      <c r="B8">
        <v>2524.5</v>
      </c>
      <c r="C8" t="s">
        <v>100</v>
      </c>
      <c r="D8" t="s">
        <v>366</v>
      </c>
      <c r="E8" t="s">
        <v>24</v>
      </c>
      <c r="F8" t="str">
        <f t="shared" si="0"/>
        <v>All Classes - Bow - Scatter Shot</v>
      </c>
    </row>
    <row r="9" spans="1:6" x14ac:dyDescent="0.25">
      <c r="A9" t="s">
        <v>234</v>
      </c>
      <c r="B9">
        <v>3442.5</v>
      </c>
      <c r="C9" t="s">
        <v>100</v>
      </c>
      <c r="D9" t="s">
        <v>366</v>
      </c>
      <c r="E9" t="s">
        <v>24</v>
      </c>
      <c r="F9" t="str">
        <f t="shared" si="0"/>
        <v>All Classes - Bow - Arrow Spray</v>
      </c>
    </row>
    <row r="10" spans="1:6" x14ac:dyDescent="0.25">
      <c r="A10" t="s">
        <v>235</v>
      </c>
      <c r="B10">
        <v>2065.5</v>
      </c>
      <c r="C10" t="s">
        <v>100</v>
      </c>
      <c r="D10" t="s">
        <v>366</v>
      </c>
      <c r="E10" t="s">
        <v>24</v>
      </c>
      <c r="F10" t="str">
        <f t="shared" si="0"/>
        <v>All Classes - Bow - Poison Arrow</v>
      </c>
    </row>
    <row r="11" spans="1:6" x14ac:dyDescent="0.25">
      <c r="A11" t="s">
        <v>128</v>
      </c>
      <c r="B11">
        <v>2700</v>
      </c>
      <c r="C11" t="s">
        <v>97</v>
      </c>
      <c r="D11" t="s">
        <v>366</v>
      </c>
      <c r="E11" t="s">
        <v>25</v>
      </c>
      <c r="F11" t="str">
        <f t="shared" si="0"/>
        <v>All Classes - Destruction Staff - Force Pulse/Crushing Shock</v>
      </c>
    </row>
    <row r="12" spans="1:6" x14ac:dyDescent="0.25">
      <c r="A12" t="s">
        <v>129</v>
      </c>
      <c r="B12">
        <v>3510</v>
      </c>
      <c r="C12" t="s">
        <v>97</v>
      </c>
      <c r="D12" t="s">
        <v>366</v>
      </c>
      <c r="E12" t="s">
        <v>25</v>
      </c>
      <c r="F12" t="str">
        <f t="shared" si="0"/>
        <v>All Classes - Destruction Staff - Wall of Elements</v>
      </c>
    </row>
    <row r="13" spans="1:6" x14ac:dyDescent="0.25">
      <c r="A13" t="s">
        <v>78</v>
      </c>
      <c r="B13">
        <v>3810</v>
      </c>
      <c r="C13" t="s">
        <v>97</v>
      </c>
      <c r="D13" t="s">
        <v>366</v>
      </c>
      <c r="E13" t="s">
        <v>25</v>
      </c>
      <c r="F13" t="str">
        <f t="shared" si="0"/>
        <v>All Classes - Destruction Staff - Destructive Clench</v>
      </c>
    </row>
    <row r="14" spans="1:6" x14ac:dyDescent="0.25">
      <c r="A14" t="s">
        <v>122</v>
      </c>
      <c r="B14">
        <v>0</v>
      </c>
      <c r="C14" t="s">
        <v>97</v>
      </c>
      <c r="D14" t="s">
        <v>366</v>
      </c>
      <c r="E14" t="s">
        <v>25</v>
      </c>
      <c r="F14" t="str">
        <f t="shared" si="0"/>
        <v>All Classes - Destruction Staff - Elemental Drain</v>
      </c>
    </row>
    <row r="15" spans="1:6" x14ac:dyDescent="0.25">
      <c r="A15" t="s">
        <v>123</v>
      </c>
      <c r="B15">
        <v>3240</v>
      </c>
      <c r="C15" t="s">
        <v>97</v>
      </c>
      <c r="D15" t="s">
        <v>366</v>
      </c>
      <c r="E15" t="s">
        <v>25</v>
      </c>
      <c r="F15" t="str">
        <f t="shared" si="0"/>
        <v>All Classes - Destruction Staff - Impulse</v>
      </c>
    </row>
    <row r="16" spans="1:6" x14ac:dyDescent="0.25">
      <c r="A16" t="s">
        <v>245</v>
      </c>
      <c r="B16">
        <v>2295</v>
      </c>
      <c r="C16" t="s">
        <v>99</v>
      </c>
      <c r="D16" t="s">
        <v>366</v>
      </c>
      <c r="E16" t="s">
        <v>24</v>
      </c>
      <c r="F16" t="str">
        <f t="shared" si="0"/>
        <v>All Classes - Dual Wield - Rapid Strikes/Blood Thirst</v>
      </c>
    </row>
    <row r="17" spans="1:6" x14ac:dyDescent="0.25">
      <c r="A17" t="s">
        <v>244</v>
      </c>
      <c r="B17">
        <v>1836</v>
      </c>
      <c r="C17" t="s">
        <v>99</v>
      </c>
      <c r="D17" t="s">
        <v>366</v>
      </c>
      <c r="E17" t="s">
        <v>24</v>
      </c>
      <c r="F17" t="str">
        <f t="shared" si="0"/>
        <v>All Classes - Dual Wield - Rending Slashes/Blood Craze</v>
      </c>
    </row>
    <row r="18" spans="1:6" x14ac:dyDescent="0.25">
      <c r="A18" t="s">
        <v>130</v>
      </c>
      <c r="B18">
        <v>3213</v>
      </c>
      <c r="C18" t="s">
        <v>99</v>
      </c>
      <c r="D18" t="s">
        <v>366</v>
      </c>
      <c r="E18" t="s">
        <v>24</v>
      </c>
      <c r="F18" t="str">
        <f t="shared" si="0"/>
        <v>All Classes - Dual Wield - Blade Cloak</v>
      </c>
    </row>
    <row r="19" spans="1:6" x14ac:dyDescent="0.25">
      <c r="A19" t="s">
        <v>351</v>
      </c>
      <c r="B19">
        <v>3213</v>
      </c>
      <c r="C19" t="s">
        <v>99</v>
      </c>
      <c r="D19" t="s">
        <v>366</v>
      </c>
      <c r="E19" t="s">
        <v>24</v>
      </c>
      <c r="F19" t="str">
        <f t="shared" si="0"/>
        <v>All Classes - Dual Wield - Steel Tornado</v>
      </c>
    </row>
    <row r="20" spans="1:6" x14ac:dyDescent="0.25">
      <c r="A20" t="s">
        <v>350</v>
      </c>
      <c r="B20">
        <f>2971*0.85</f>
        <v>2525.35</v>
      </c>
      <c r="C20" t="s">
        <v>99</v>
      </c>
      <c r="D20" t="s">
        <v>366</v>
      </c>
      <c r="E20" t="s">
        <v>24</v>
      </c>
      <c r="F20" t="str">
        <f t="shared" si="0"/>
        <v>All Classes - Dual Wield - Whirling Blades</v>
      </c>
    </row>
    <row r="21" spans="1:6" x14ac:dyDescent="0.25">
      <c r="A21" t="s">
        <v>246</v>
      </c>
      <c r="B21">
        <v>2524.5</v>
      </c>
      <c r="C21" t="s">
        <v>99</v>
      </c>
      <c r="D21" t="s">
        <v>366</v>
      </c>
      <c r="E21" t="s">
        <v>24</v>
      </c>
      <c r="F21" t="str">
        <f t="shared" si="0"/>
        <v>All Classes - Dual Wield - Hidden Blade</v>
      </c>
    </row>
    <row r="22" spans="1:6" x14ac:dyDescent="0.25">
      <c r="A22" t="s">
        <v>206</v>
      </c>
      <c r="B22">
        <v>3510</v>
      </c>
      <c r="C22" t="s">
        <v>287</v>
      </c>
      <c r="D22" t="s">
        <v>366</v>
      </c>
      <c r="E22" t="s">
        <v>24</v>
      </c>
      <c r="F22" t="str">
        <f t="shared" si="0"/>
        <v>All Classes - Fighter's Guild - Silver Leash/Silver Shards</v>
      </c>
    </row>
    <row r="23" spans="1:6" x14ac:dyDescent="0.25">
      <c r="A23" t="s">
        <v>207</v>
      </c>
      <c r="B23">
        <v>7780</v>
      </c>
      <c r="C23" t="s">
        <v>287</v>
      </c>
      <c r="D23" t="s">
        <v>366</v>
      </c>
      <c r="E23" t="s">
        <v>24</v>
      </c>
      <c r="F23" t="str">
        <f t="shared" si="0"/>
        <v>All Classes - Fighter's Guild - Circle of Protection</v>
      </c>
    </row>
    <row r="24" spans="1:6" x14ac:dyDescent="0.25">
      <c r="A24" t="s">
        <v>208</v>
      </c>
      <c r="B24">
        <v>5400</v>
      </c>
      <c r="C24" t="s">
        <v>287</v>
      </c>
      <c r="D24" t="s">
        <v>366</v>
      </c>
      <c r="E24" t="s">
        <v>24</v>
      </c>
      <c r="F24" t="str">
        <f t="shared" si="0"/>
        <v>All Classes - Fighter's Guild - Camouflaged/Evil Hunter</v>
      </c>
    </row>
    <row r="25" spans="1:6" x14ac:dyDescent="0.25">
      <c r="A25" t="s">
        <v>209</v>
      </c>
      <c r="B25">
        <v>3780</v>
      </c>
      <c r="C25" t="s">
        <v>287</v>
      </c>
      <c r="D25" t="s">
        <v>366</v>
      </c>
      <c r="E25" t="s">
        <v>24</v>
      </c>
      <c r="F25" t="str">
        <f t="shared" si="0"/>
        <v>All Classes - Fighter's Guild - Rearming Trap/Lightweight Trap</v>
      </c>
    </row>
    <row r="26" spans="1:6" x14ac:dyDescent="0.25">
      <c r="A26" t="s">
        <v>256</v>
      </c>
      <c r="B26">
        <v>4860</v>
      </c>
      <c r="C26" t="s">
        <v>296</v>
      </c>
      <c r="D26" t="s">
        <v>366</v>
      </c>
      <c r="E26" t="s">
        <v>24</v>
      </c>
      <c r="F26" t="str">
        <f t="shared" si="0"/>
        <v>All Classes - Heavy Armor - Immovable</v>
      </c>
    </row>
    <row r="27" spans="1:6" x14ac:dyDescent="0.25">
      <c r="A27" t="s">
        <v>257</v>
      </c>
      <c r="B27">
        <v>4590</v>
      </c>
      <c r="C27" t="s">
        <v>297</v>
      </c>
      <c r="D27" t="s">
        <v>366</v>
      </c>
      <c r="E27" t="s">
        <v>25</v>
      </c>
      <c r="F27" t="str">
        <f t="shared" si="0"/>
        <v>All Classes - Light Armor - Harness Magicka/Dampen Magic</v>
      </c>
    </row>
    <row r="28" spans="1:6" x14ac:dyDescent="0.25">
      <c r="A28" t="s">
        <v>277</v>
      </c>
      <c r="B28">
        <v>4050</v>
      </c>
      <c r="C28" t="s">
        <v>293</v>
      </c>
      <c r="D28" t="s">
        <v>366</v>
      </c>
      <c r="E28" t="s">
        <v>25</v>
      </c>
      <c r="F28" t="str">
        <f t="shared" si="0"/>
        <v>All Classes - Mage's Guild - Fire Rune/Scalding Rune</v>
      </c>
    </row>
    <row r="29" spans="1:6" x14ac:dyDescent="0.25">
      <c r="A29" t="s">
        <v>251</v>
      </c>
      <c r="B29">
        <v>1620</v>
      </c>
      <c r="C29" t="s">
        <v>293</v>
      </c>
      <c r="D29" t="s">
        <v>366</v>
      </c>
      <c r="E29" t="s">
        <v>25</v>
      </c>
      <c r="F29" t="str">
        <f t="shared" si="0"/>
        <v>All Classes - Mage's Guild - Entropy</v>
      </c>
    </row>
    <row r="30" spans="1:6" x14ac:dyDescent="0.25">
      <c r="A30" t="s">
        <v>258</v>
      </c>
      <c r="B30">
        <v>4320</v>
      </c>
      <c r="C30" t="s">
        <v>298</v>
      </c>
      <c r="D30" t="s">
        <v>366</v>
      </c>
      <c r="E30" t="s">
        <v>24</v>
      </c>
      <c r="F30" t="str">
        <f t="shared" si="0"/>
        <v>All Classes - Medium Armor - Evasion/Shuffle</v>
      </c>
    </row>
    <row r="31" spans="1:6" x14ac:dyDescent="0.25">
      <c r="A31" t="s">
        <v>239</v>
      </c>
      <c r="B31">
        <v>1701</v>
      </c>
      <c r="C31" t="s">
        <v>292</v>
      </c>
      <c r="D31" t="s">
        <v>366</v>
      </c>
      <c r="E31" t="s">
        <v>24</v>
      </c>
      <c r="F31" t="str">
        <f t="shared" si="0"/>
        <v>All Classes - One Handed &amp; Shield - Puncture</v>
      </c>
    </row>
    <row r="32" spans="1:6" x14ac:dyDescent="0.25">
      <c r="A32" t="s">
        <v>240</v>
      </c>
      <c r="B32">
        <v>2970</v>
      </c>
      <c r="C32" t="s">
        <v>292</v>
      </c>
      <c r="D32" t="s">
        <v>366</v>
      </c>
      <c r="E32" t="s">
        <v>24</v>
      </c>
      <c r="F32" t="str">
        <f t="shared" si="0"/>
        <v>All Classes - One Handed &amp; Shield - Low Slash</v>
      </c>
    </row>
    <row r="33" spans="1:6" x14ac:dyDescent="0.25">
      <c r="A33" t="s">
        <v>241</v>
      </c>
      <c r="B33">
        <v>2430</v>
      </c>
      <c r="C33" t="s">
        <v>292</v>
      </c>
      <c r="D33" t="s">
        <v>366</v>
      </c>
      <c r="E33" t="s">
        <v>24</v>
      </c>
      <c r="F33" t="str">
        <f t="shared" si="0"/>
        <v>All Classes - One Handed &amp; Shield - Defensive Stance</v>
      </c>
    </row>
    <row r="34" spans="1:6" x14ac:dyDescent="0.25">
      <c r="A34" t="s">
        <v>242</v>
      </c>
      <c r="B34">
        <v>3780</v>
      </c>
      <c r="C34" t="s">
        <v>292</v>
      </c>
      <c r="D34" t="s">
        <v>366</v>
      </c>
      <c r="E34" t="s">
        <v>24</v>
      </c>
      <c r="F34" t="str">
        <f t="shared" si="0"/>
        <v>All Classes - One Handed &amp; Shield - Shield Charge</v>
      </c>
    </row>
    <row r="35" spans="1:6" x14ac:dyDescent="0.25">
      <c r="A35" t="s">
        <v>243</v>
      </c>
      <c r="B35">
        <v>3510</v>
      </c>
      <c r="C35" t="s">
        <v>292</v>
      </c>
      <c r="D35" t="s">
        <v>366</v>
      </c>
      <c r="E35" t="s">
        <v>24</v>
      </c>
      <c r="F35" t="str">
        <f t="shared" si="0"/>
        <v>All Classes - One Handed &amp; Shield - Power Bash</v>
      </c>
    </row>
    <row r="36" spans="1:6" x14ac:dyDescent="0.25">
      <c r="A36" t="s">
        <v>226</v>
      </c>
      <c r="B36">
        <v>3510</v>
      </c>
      <c r="C36" t="s">
        <v>98</v>
      </c>
      <c r="D36" t="s">
        <v>366</v>
      </c>
      <c r="E36" t="s">
        <v>25</v>
      </c>
      <c r="F36" t="str">
        <f t="shared" si="0"/>
        <v>All Classes - Restoration Staff - Healing Springs</v>
      </c>
    </row>
    <row r="37" spans="1:6" x14ac:dyDescent="0.25">
      <c r="A37" t="s">
        <v>227</v>
      </c>
      <c r="B37">
        <v>2160</v>
      </c>
      <c r="C37" t="s">
        <v>98</v>
      </c>
      <c r="D37" t="s">
        <v>366</v>
      </c>
      <c r="E37" t="s">
        <v>25</v>
      </c>
      <c r="F37" t="str">
        <f t="shared" si="0"/>
        <v>All Classes - Restoration Staff - Rapid Regeneration/Mutagen</v>
      </c>
    </row>
    <row r="38" spans="1:6" x14ac:dyDescent="0.25">
      <c r="A38" t="s">
        <v>228</v>
      </c>
      <c r="B38">
        <v>2780</v>
      </c>
      <c r="C38" t="s">
        <v>98</v>
      </c>
      <c r="D38" t="s">
        <v>366</v>
      </c>
      <c r="E38" t="s">
        <v>25</v>
      </c>
      <c r="F38" t="str">
        <f t="shared" si="0"/>
        <v>All Classes - Restoration Staff - Combat Prayer</v>
      </c>
    </row>
    <row r="39" spans="1:6" x14ac:dyDescent="0.25">
      <c r="A39" t="s">
        <v>229</v>
      </c>
      <c r="B39">
        <v>4590</v>
      </c>
      <c r="C39" t="s">
        <v>98</v>
      </c>
      <c r="D39" t="s">
        <v>366</v>
      </c>
      <c r="E39" t="s">
        <v>25</v>
      </c>
      <c r="F39" t="str">
        <f t="shared" si="0"/>
        <v>All Classes - Restoration Staff - Healing Ward</v>
      </c>
    </row>
    <row r="40" spans="1:6" x14ac:dyDescent="0.25">
      <c r="A40" t="s">
        <v>230</v>
      </c>
      <c r="B40">
        <v>2160</v>
      </c>
      <c r="C40" t="s">
        <v>98</v>
      </c>
      <c r="D40" t="s">
        <v>366</v>
      </c>
      <c r="E40" t="s">
        <v>25</v>
      </c>
      <c r="F40" t="str">
        <f t="shared" si="0"/>
        <v>All Classes - Restoration Staff - Force Siphon</v>
      </c>
    </row>
    <row r="41" spans="1:6" x14ac:dyDescent="0.25">
      <c r="A41" t="s">
        <v>352</v>
      </c>
      <c r="B41">
        <v>2754</v>
      </c>
      <c r="C41" t="s">
        <v>294</v>
      </c>
      <c r="D41" t="s">
        <v>366</v>
      </c>
      <c r="E41" t="s">
        <v>24</v>
      </c>
      <c r="F41" t="str">
        <f t="shared" si="0"/>
        <v>All Classes - Two Handed - Uppercut</v>
      </c>
    </row>
    <row r="42" spans="1:6" x14ac:dyDescent="0.25">
      <c r="A42" t="s">
        <v>247</v>
      </c>
      <c r="B42">
        <v>3213</v>
      </c>
      <c r="C42" t="s">
        <v>294</v>
      </c>
      <c r="D42" t="s">
        <v>366</v>
      </c>
      <c r="E42" t="s">
        <v>24</v>
      </c>
      <c r="F42" t="str">
        <f t="shared" si="0"/>
        <v>All Classes - Two Handed - Critical Charge</v>
      </c>
    </row>
    <row r="43" spans="1:6" x14ac:dyDescent="0.25">
      <c r="A43" t="s">
        <v>248</v>
      </c>
      <c r="B43">
        <v>2754</v>
      </c>
      <c r="C43" t="s">
        <v>294</v>
      </c>
      <c r="D43" t="s">
        <v>366</v>
      </c>
      <c r="E43" t="s">
        <v>24</v>
      </c>
      <c r="F43" t="str">
        <f t="shared" si="0"/>
        <v>All Classes - Two Handed - Cleave</v>
      </c>
    </row>
    <row r="44" spans="1:6" x14ac:dyDescent="0.25">
      <c r="A44" t="s">
        <v>249</v>
      </c>
      <c r="B44">
        <v>1836</v>
      </c>
      <c r="C44" t="s">
        <v>294</v>
      </c>
      <c r="D44" t="s">
        <v>366</v>
      </c>
      <c r="E44" t="s">
        <v>24</v>
      </c>
      <c r="F44" t="str">
        <f t="shared" si="0"/>
        <v>All Classes - Two Handed - Reverse Slash</v>
      </c>
    </row>
    <row r="45" spans="1:6" x14ac:dyDescent="0.25">
      <c r="A45" t="s">
        <v>250</v>
      </c>
      <c r="B45">
        <v>3442.5</v>
      </c>
      <c r="C45" t="s">
        <v>294</v>
      </c>
      <c r="D45" t="s">
        <v>366</v>
      </c>
      <c r="E45" t="s">
        <v>24</v>
      </c>
      <c r="F45" t="str">
        <f t="shared" si="0"/>
        <v>All Classes - Two Handed - Momentum</v>
      </c>
    </row>
    <row r="46" spans="1:6" x14ac:dyDescent="0.25">
      <c r="A46" t="s">
        <v>252</v>
      </c>
      <c r="B46">
        <v>4590</v>
      </c>
      <c r="C46" t="s">
        <v>295</v>
      </c>
      <c r="D46" t="s">
        <v>366</v>
      </c>
      <c r="E46" t="s">
        <v>25</v>
      </c>
      <c r="F46" t="str">
        <f t="shared" si="0"/>
        <v>All Classes - Undaunted - Necrotic Orb</v>
      </c>
    </row>
    <row r="47" spans="1:6" x14ac:dyDescent="0.25">
      <c r="A47" t="s">
        <v>253</v>
      </c>
      <c r="B47">
        <v>4051</v>
      </c>
      <c r="C47" t="s">
        <v>295</v>
      </c>
      <c r="D47" t="s">
        <v>366</v>
      </c>
      <c r="E47" t="s">
        <v>25</v>
      </c>
      <c r="F47" t="str">
        <f t="shared" si="0"/>
        <v>All Classes - Undaunted - Inner Fire</v>
      </c>
    </row>
    <row r="48" spans="1:6" x14ac:dyDescent="0.25">
      <c r="A48" t="s">
        <v>254</v>
      </c>
      <c r="B48">
        <v>5940</v>
      </c>
      <c r="C48" t="s">
        <v>7</v>
      </c>
      <c r="D48" t="s">
        <v>366</v>
      </c>
      <c r="E48" t="s">
        <v>25</v>
      </c>
      <c r="F48" t="str">
        <f t="shared" si="0"/>
        <v>All Classes - Vampire - Mist Form</v>
      </c>
    </row>
    <row r="49" spans="1:6" x14ac:dyDescent="0.25">
      <c r="A49" t="s">
        <v>255</v>
      </c>
      <c r="B49">
        <v>2700</v>
      </c>
      <c r="C49" t="s">
        <v>7</v>
      </c>
      <c r="D49" t="s">
        <v>366</v>
      </c>
      <c r="E49" t="s">
        <v>25</v>
      </c>
      <c r="F49" t="str">
        <f t="shared" si="0"/>
        <v>All Classes - Vampire - Drain Essence</v>
      </c>
    </row>
    <row r="50" spans="1:6" x14ac:dyDescent="0.25">
      <c r="A50" t="s">
        <v>153</v>
      </c>
      <c r="B50">
        <v>2431</v>
      </c>
      <c r="C50" t="s">
        <v>278</v>
      </c>
      <c r="D50" t="s">
        <v>14</v>
      </c>
      <c r="E50" t="s">
        <v>25</v>
      </c>
      <c r="F50" t="str">
        <f t="shared" si="0"/>
        <v>Dragonknight - Ardent Flame - Molten Whip</v>
      </c>
    </row>
    <row r="51" spans="1:6" x14ac:dyDescent="0.25">
      <c r="A51" t="s">
        <v>170</v>
      </c>
      <c r="B51">
        <v>0</v>
      </c>
      <c r="C51" t="s">
        <v>278</v>
      </c>
      <c r="D51" t="s">
        <v>14</v>
      </c>
      <c r="E51" t="s">
        <v>25</v>
      </c>
      <c r="F51" t="str">
        <f t="shared" si="0"/>
        <v>Dragonknight - Ardent Flame - Flame Lash/Power Lash</v>
      </c>
    </row>
    <row r="52" spans="1:6" x14ac:dyDescent="0.25">
      <c r="A52" t="s">
        <v>154</v>
      </c>
      <c r="B52">
        <v>1147</v>
      </c>
      <c r="C52" t="s">
        <v>278</v>
      </c>
      <c r="D52" t="s">
        <v>14</v>
      </c>
      <c r="E52" t="s">
        <v>24</v>
      </c>
      <c r="F52" t="str">
        <f t="shared" si="0"/>
        <v>Dragonknight - Ardent Flame - Venomous Claw</v>
      </c>
    </row>
    <row r="53" spans="1:6" x14ac:dyDescent="0.25">
      <c r="A53" t="s">
        <v>155</v>
      </c>
      <c r="B53">
        <v>1350</v>
      </c>
      <c r="C53" t="s">
        <v>278</v>
      </c>
      <c r="D53" t="s">
        <v>14</v>
      </c>
      <c r="E53" t="s">
        <v>25</v>
      </c>
      <c r="F53" t="str">
        <f t="shared" si="0"/>
        <v>Dragonknight - Ardent Flame - Burning Embers</v>
      </c>
    </row>
    <row r="54" spans="1:6" x14ac:dyDescent="0.25">
      <c r="A54" t="s">
        <v>156</v>
      </c>
      <c r="B54">
        <v>2295</v>
      </c>
      <c r="C54" t="s">
        <v>278</v>
      </c>
      <c r="D54" t="s">
        <v>14</v>
      </c>
      <c r="E54" t="s">
        <v>24</v>
      </c>
      <c r="F54" t="str">
        <f t="shared" si="0"/>
        <v>Dragonknight - Ardent Flame - Noxious Breath</v>
      </c>
    </row>
    <row r="55" spans="1:6" x14ac:dyDescent="0.25">
      <c r="A55" t="s">
        <v>157</v>
      </c>
      <c r="B55">
        <v>2700</v>
      </c>
      <c r="C55" t="s">
        <v>278</v>
      </c>
      <c r="D55" t="s">
        <v>14</v>
      </c>
      <c r="E55" t="s">
        <v>25</v>
      </c>
      <c r="F55" t="str">
        <f t="shared" si="0"/>
        <v>Dragonknight - Ardent Flame - Engulfing Flames</v>
      </c>
    </row>
    <row r="56" spans="1:6" x14ac:dyDescent="0.25">
      <c r="A56" t="s">
        <v>158</v>
      </c>
      <c r="B56">
        <v>3511</v>
      </c>
      <c r="C56" t="s">
        <v>278</v>
      </c>
      <c r="D56" t="s">
        <v>14</v>
      </c>
      <c r="E56" t="s">
        <v>25</v>
      </c>
      <c r="F56" t="str">
        <f t="shared" si="0"/>
        <v>Dragonknight - Ardent Flame - Empowering Chains</v>
      </c>
    </row>
    <row r="57" spans="1:6" x14ac:dyDescent="0.25">
      <c r="A57" t="s">
        <v>159</v>
      </c>
      <c r="B57">
        <v>3511</v>
      </c>
      <c r="C57" t="s">
        <v>278</v>
      </c>
      <c r="D57" t="s">
        <v>14</v>
      </c>
      <c r="E57" t="s">
        <v>25</v>
      </c>
      <c r="F57" t="str">
        <f t="shared" si="0"/>
        <v>Dragonknight - Ardent Flame - Relentless Grip</v>
      </c>
    </row>
    <row r="58" spans="1:6" x14ac:dyDescent="0.25">
      <c r="A58" t="s">
        <v>160</v>
      </c>
      <c r="B58">
        <v>2160</v>
      </c>
      <c r="C58" t="s">
        <v>278</v>
      </c>
      <c r="D58" t="s">
        <v>14</v>
      </c>
      <c r="E58" t="s">
        <v>25</v>
      </c>
      <c r="F58" t="str">
        <f t="shared" si="0"/>
        <v>Dragonknight - Ardent Flame - Flames of Oblivion</v>
      </c>
    </row>
    <row r="59" spans="1:6" x14ac:dyDescent="0.25">
      <c r="A59" t="s">
        <v>161</v>
      </c>
      <c r="B59">
        <v>2160</v>
      </c>
      <c r="C59" t="s">
        <v>278</v>
      </c>
      <c r="D59" t="s">
        <v>14</v>
      </c>
      <c r="E59" t="s">
        <v>25</v>
      </c>
      <c r="F59" t="str">
        <f t="shared" si="0"/>
        <v>Dragonknight - Ardent Flame - Cauterize</v>
      </c>
    </row>
    <row r="60" spans="1:6" x14ac:dyDescent="0.25">
      <c r="A60" t="s">
        <v>162</v>
      </c>
      <c r="B60">
        <v>2700</v>
      </c>
      <c r="C60" t="s">
        <v>302</v>
      </c>
      <c r="D60" t="s">
        <v>14</v>
      </c>
      <c r="E60" t="s">
        <v>25</v>
      </c>
      <c r="F60" t="str">
        <f t="shared" si="0"/>
        <v>Dragonknight - Draconic Power - Volatile Armor</v>
      </c>
    </row>
    <row r="61" spans="1:6" x14ac:dyDescent="0.25">
      <c r="A61" t="s">
        <v>163</v>
      </c>
      <c r="B61">
        <v>2700</v>
      </c>
      <c r="C61" t="s">
        <v>302</v>
      </c>
      <c r="D61" t="s">
        <v>14</v>
      </c>
      <c r="E61" t="s">
        <v>25</v>
      </c>
      <c r="F61" t="str">
        <f t="shared" si="0"/>
        <v>Dragonknight - Draconic Power - Hardened Armor</v>
      </c>
    </row>
    <row r="62" spans="1:6" x14ac:dyDescent="0.25">
      <c r="A62" t="s">
        <v>164</v>
      </c>
      <c r="B62">
        <v>4050</v>
      </c>
      <c r="C62" t="s">
        <v>302</v>
      </c>
      <c r="D62" t="s">
        <v>14</v>
      </c>
      <c r="E62" t="s">
        <v>25</v>
      </c>
      <c r="F62" t="str">
        <f t="shared" si="0"/>
        <v>Dragonknight - Draconic Power - Burning/Choking Talons</v>
      </c>
    </row>
    <row r="63" spans="1:6" x14ac:dyDescent="0.25">
      <c r="A63" t="s">
        <v>165</v>
      </c>
      <c r="B63">
        <v>4320</v>
      </c>
      <c r="C63" t="s">
        <v>302</v>
      </c>
      <c r="D63" t="s">
        <v>14</v>
      </c>
      <c r="E63" t="s">
        <v>25</v>
      </c>
      <c r="F63" t="str">
        <f t="shared" si="0"/>
        <v>Dragonknight - Draconic Power - Coagulating Blood/Green Dragonblood</v>
      </c>
    </row>
    <row r="64" spans="1:6" x14ac:dyDescent="0.25">
      <c r="A64" t="s">
        <v>166</v>
      </c>
      <c r="B64">
        <v>3780</v>
      </c>
      <c r="C64" t="s">
        <v>302</v>
      </c>
      <c r="D64" t="s">
        <v>14</v>
      </c>
      <c r="E64" t="s">
        <v>25</v>
      </c>
      <c r="F64" t="str">
        <f t="shared" si="0"/>
        <v>Dragonknight - Draconic Power - Dragonscales</v>
      </c>
    </row>
    <row r="65" spans="1:6" x14ac:dyDescent="0.25">
      <c r="A65" t="s">
        <v>279</v>
      </c>
      <c r="B65">
        <v>4050</v>
      </c>
      <c r="C65" t="s">
        <v>302</v>
      </c>
      <c r="D65" t="s">
        <v>14</v>
      </c>
      <c r="E65" t="s">
        <v>25</v>
      </c>
      <c r="F65" t="str">
        <f t="shared" si="0"/>
        <v>Dragonknight - Draconic Power - Inhale/Deep Breath</v>
      </c>
    </row>
    <row r="66" spans="1:6" x14ac:dyDescent="0.25">
      <c r="A66" t="s">
        <v>167</v>
      </c>
      <c r="B66">
        <v>4050</v>
      </c>
      <c r="C66" t="s">
        <v>280</v>
      </c>
      <c r="D66" t="s">
        <v>14</v>
      </c>
      <c r="E66" t="s">
        <v>25</v>
      </c>
      <c r="F66" t="str">
        <f t="shared" si="0"/>
        <v>Dragonknight - Earthen Heart - Stonefist</v>
      </c>
    </row>
    <row r="67" spans="1:6" x14ac:dyDescent="0.25">
      <c r="A67" t="s">
        <v>168</v>
      </c>
      <c r="B67">
        <v>4320</v>
      </c>
      <c r="C67" t="s">
        <v>280</v>
      </c>
      <c r="D67" t="s">
        <v>14</v>
      </c>
      <c r="E67" t="s">
        <v>25</v>
      </c>
      <c r="F67" t="str">
        <f t="shared" ref="F67:F130" si="1">_xlfn.TEXTJOIN(" - ",1,D67,C67,A67)</f>
        <v>Dragonknight - Earthen Heart - Molten Armaments/Igneous Weapons</v>
      </c>
    </row>
    <row r="68" spans="1:6" x14ac:dyDescent="0.25">
      <c r="A68" t="s">
        <v>169</v>
      </c>
      <c r="B68">
        <v>4050</v>
      </c>
      <c r="C68" t="s">
        <v>280</v>
      </c>
      <c r="D68" t="s">
        <v>14</v>
      </c>
      <c r="E68" t="s">
        <v>25</v>
      </c>
      <c r="F68" t="str">
        <f t="shared" si="1"/>
        <v>Dragonknight - Earthen Heart - Igneous Shield/Eruptive Shield</v>
      </c>
    </row>
    <row r="69" spans="1:6" x14ac:dyDescent="0.25">
      <c r="A69" t="s">
        <v>171</v>
      </c>
      <c r="B69">
        <v>3510</v>
      </c>
      <c r="C69" t="s">
        <v>280</v>
      </c>
      <c r="D69" t="s">
        <v>14</v>
      </c>
      <c r="E69" t="s">
        <v>25</v>
      </c>
      <c r="F69" t="str">
        <f t="shared" si="1"/>
        <v>Dragonknight - Earthen Heart - Fossilize</v>
      </c>
    </row>
    <row r="70" spans="1:6" x14ac:dyDescent="0.25">
      <c r="A70" t="s">
        <v>172</v>
      </c>
      <c r="B70">
        <v>4590</v>
      </c>
      <c r="C70" t="s">
        <v>280</v>
      </c>
      <c r="D70" t="s">
        <v>14</v>
      </c>
      <c r="E70" t="s">
        <v>25</v>
      </c>
      <c r="F70" t="str">
        <f t="shared" si="1"/>
        <v>Dragonknight - Earthen Heart - Eruption</v>
      </c>
    </row>
    <row r="71" spans="1:6" x14ac:dyDescent="0.25">
      <c r="A71" t="s">
        <v>190</v>
      </c>
      <c r="B71">
        <v>1890</v>
      </c>
      <c r="C71" t="s">
        <v>284</v>
      </c>
      <c r="D71" t="s">
        <v>8</v>
      </c>
      <c r="E71" t="s">
        <v>25</v>
      </c>
      <c r="F71" t="str">
        <f t="shared" si="1"/>
        <v>Nightblade - Assassination - Impale</v>
      </c>
    </row>
    <row r="72" spans="1:6" x14ac:dyDescent="0.25">
      <c r="A72" t="s">
        <v>191</v>
      </c>
      <c r="B72">
        <v>1606.5</v>
      </c>
      <c r="C72" t="s">
        <v>284</v>
      </c>
      <c r="D72" t="s">
        <v>8</v>
      </c>
      <c r="E72" t="s">
        <v>24</v>
      </c>
      <c r="F72" t="str">
        <f t="shared" si="1"/>
        <v>Nightblade - Assassination - Killers Blade</v>
      </c>
    </row>
    <row r="73" spans="1:6" x14ac:dyDescent="0.25">
      <c r="A73" t="s">
        <v>192</v>
      </c>
      <c r="B73">
        <v>4050</v>
      </c>
      <c r="C73" t="s">
        <v>284</v>
      </c>
      <c r="D73" t="s">
        <v>8</v>
      </c>
      <c r="E73" t="s">
        <v>25</v>
      </c>
      <c r="F73" t="str">
        <f t="shared" si="1"/>
        <v>Nightblade - Assassination - Lotus Fan</v>
      </c>
    </row>
    <row r="74" spans="1:6" x14ac:dyDescent="0.25">
      <c r="A74" t="s">
        <v>193</v>
      </c>
      <c r="B74">
        <v>3442.5</v>
      </c>
      <c r="C74" t="s">
        <v>284</v>
      </c>
      <c r="D74" t="s">
        <v>8</v>
      </c>
      <c r="E74" t="s">
        <v>24</v>
      </c>
      <c r="F74" t="str">
        <f t="shared" si="1"/>
        <v>Nightblade - Assassination - Ambush</v>
      </c>
    </row>
    <row r="75" spans="1:6" x14ac:dyDescent="0.25">
      <c r="A75" t="s">
        <v>194</v>
      </c>
      <c r="B75">
        <v>3780</v>
      </c>
      <c r="C75" t="s">
        <v>284</v>
      </c>
      <c r="D75" t="s">
        <v>8</v>
      </c>
      <c r="E75" t="s">
        <v>25</v>
      </c>
      <c r="F75" t="str">
        <f t="shared" si="1"/>
        <v>Nightblade - Assassination - Mirage/Double Take</v>
      </c>
    </row>
    <row r="76" spans="1:6" x14ac:dyDescent="0.25">
      <c r="A76" t="s">
        <v>195</v>
      </c>
      <c r="B76">
        <v>2700</v>
      </c>
      <c r="C76" t="s">
        <v>284</v>
      </c>
      <c r="D76" t="s">
        <v>8</v>
      </c>
      <c r="E76" t="s">
        <v>25</v>
      </c>
      <c r="F76" t="str">
        <f t="shared" si="1"/>
        <v>Nightblade - Assassination - Reaper's Mark</v>
      </c>
    </row>
    <row r="77" spans="1:6" x14ac:dyDescent="0.25">
      <c r="A77" t="s">
        <v>319</v>
      </c>
      <c r="B77">
        <v>2700</v>
      </c>
      <c r="C77" t="s">
        <v>284</v>
      </c>
      <c r="D77" t="s">
        <v>8</v>
      </c>
      <c r="E77" t="s">
        <v>25</v>
      </c>
      <c r="F77" t="str">
        <f t="shared" si="1"/>
        <v>Nightblade - Assassination - Merciless Resolve</v>
      </c>
    </row>
    <row r="78" spans="1:6" x14ac:dyDescent="0.25">
      <c r="A78" t="s">
        <v>320</v>
      </c>
      <c r="B78">
        <v>2295</v>
      </c>
      <c r="C78" t="s">
        <v>284</v>
      </c>
      <c r="D78" t="s">
        <v>8</v>
      </c>
      <c r="E78" t="s">
        <v>24</v>
      </c>
      <c r="F78" t="str">
        <f t="shared" si="1"/>
        <v>Nightblade - Assassination - Relentless Focus</v>
      </c>
    </row>
    <row r="79" spans="1:6" x14ac:dyDescent="0.25">
      <c r="A79" t="s">
        <v>354</v>
      </c>
      <c r="B79">
        <v>0</v>
      </c>
      <c r="C79" t="s">
        <v>284</v>
      </c>
      <c r="D79" t="s">
        <v>8</v>
      </c>
      <c r="E79" t="s">
        <v>322</v>
      </c>
      <c r="F79" t="str">
        <f t="shared" si="1"/>
        <v>Nightblade - Assassination - Assassin's Will Proc</v>
      </c>
    </row>
    <row r="80" spans="1:6" x14ac:dyDescent="0.25">
      <c r="A80" t="s">
        <v>196</v>
      </c>
      <c r="B80">
        <v>2430</v>
      </c>
      <c r="C80" t="s">
        <v>285</v>
      </c>
      <c r="D80" t="s">
        <v>8</v>
      </c>
      <c r="E80" t="s">
        <v>25</v>
      </c>
      <c r="F80" t="str">
        <f t="shared" si="1"/>
        <v>Nightblade - Shadow - Concealed Weapon</v>
      </c>
    </row>
    <row r="81" spans="1:6" x14ac:dyDescent="0.25">
      <c r="A81" t="s">
        <v>75</v>
      </c>
      <c r="B81">
        <v>2295</v>
      </c>
      <c r="C81" t="s">
        <v>285</v>
      </c>
      <c r="D81" t="s">
        <v>8</v>
      </c>
      <c r="E81" t="s">
        <v>24</v>
      </c>
      <c r="F81" t="str">
        <f t="shared" si="1"/>
        <v>Nightblade - Shadow - Surprise Attack</v>
      </c>
    </row>
    <row r="82" spans="1:6" x14ac:dyDescent="0.25">
      <c r="A82" t="s">
        <v>197</v>
      </c>
      <c r="B82">
        <v>4050</v>
      </c>
      <c r="C82" t="s">
        <v>285</v>
      </c>
      <c r="D82" t="s">
        <v>8</v>
      </c>
      <c r="E82" t="s">
        <v>25</v>
      </c>
      <c r="F82" t="str">
        <f t="shared" si="1"/>
        <v>Nightblade - Shadow - Cloak</v>
      </c>
    </row>
    <row r="83" spans="1:6" x14ac:dyDescent="0.25">
      <c r="A83" t="s">
        <v>198</v>
      </c>
      <c r="B83">
        <v>3510</v>
      </c>
      <c r="C83" t="s">
        <v>285</v>
      </c>
      <c r="D83" t="s">
        <v>8</v>
      </c>
      <c r="E83" t="s">
        <v>25</v>
      </c>
      <c r="F83" t="str">
        <f t="shared" si="1"/>
        <v>Nightblade - Shadow - Twisting/Refreshing Path</v>
      </c>
    </row>
    <row r="84" spans="1:6" x14ac:dyDescent="0.25">
      <c r="A84" t="s">
        <v>199</v>
      </c>
      <c r="B84">
        <v>3780</v>
      </c>
      <c r="C84" t="s">
        <v>285</v>
      </c>
      <c r="D84" t="s">
        <v>8</v>
      </c>
      <c r="E84" t="s">
        <v>25</v>
      </c>
      <c r="F84" t="str">
        <f t="shared" si="1"/>
        <v>Nightblade - Shadow - Aspect of Terror</v>
      </c>
    </row>
    <row r="85" spans="1:6" x14ac:dyDescent="0.25">
      <c r="A85" t="s">
        <v>200</v>
      </c>
      <c r="B85">
        <v>2700</v>
      </c>
      <c r="C85" t="s">
        <v>285</v>
      </c>
      <c r="D85" t="s">
        <v>8</v>
      </c>
      <c r="E85" t="s">
        <v>25</v>
      </c>
      <c r="F85" t="str">
        <f t="shared" si="1"/>
        <v>Nightblade - Shadow - Summon Shades</v>
      </c>
    </row>
    <row r="86" spans="1:6" x14ac:dyDescent="0.25">
      <c r="A86" t="s">
        <v>201</v>
      </c>
      <c r="B86">
        <v>1891</v>
      </c>
      <c r="C86" t="s">
        <v>286</v>
      </c>
      <c r="D86" t="s">
        <v>8</v>
      </c>
      <c r="E86" t="s">
        <v>25</v>
      </c>
      <c r="F86" t="str">
        <f t="shared" si="1"/>
        <v>Nightblade - Siphoning - Funnel Health/Swallow Soul</v>
      </c>
    </row>
    <row r="87" spans="1:6" x14ac:dyDescent="0.25">
      <c r="A87" t="s">
        <v>202</v>
      </c>
      <c r="B87">
        <v>3240</v>
      </c>
      <c r="C87" t="s">
        <v>286</v>
      </c>
      <c r="D87" t="s">
        <v>8</v>
      </c>
      <c r="E87" t="s">
        <v>25</v>
      </c>
      <c r="F87" t="str">
        <f t="shared" si="1"/>
        <v>Nightblade - Siphoning - Agony</v>
      </c>
    </row>
    <row r="88" spans="1:6" x14ac:dyDescent="0.25">
      <c r="A88" t="s">
        <v>203</v>
      </c>
      <c r="B88">
        <v>3240</v>
      </c>
      <c r="C88" t="s">
        <v>286</v>
      </c>
      <c r="D88" t="s">
        <v>8</v>
      </c>
      <c r="E88" t="s">
        <v>25</v>
      </c>
      <c r="F88" t="str">
        <f t="shared" si="1"/>
        <v>Nightblade - Siphoning - Prolonged Suffering/Crippling Grasp</v>
      </c>
    </row>
    <row r="89" spans="1:6" x14ac:dyDescent="0.25">
      <c r="A89" t="s">
        <v>204</v>
      </c>
      <c r="B89">
        <v>1120</v>
      </c>
      <c r="C89" t="s">
        <v>286</v>
      </c>
      <c r="D89" t="s">
        <v>8</v>
      </c>
      <c r="E89" t="s">
        <v>25</v>
      </c>
      <c r="F89" t="str">
        <f t="shared" si="1"/>
        <v>Nightblade - Siphoning - Siphoning Attacks</v>
      </c>
    </row>
    <row r="90" spans="1:6" x14ac:dyDescent="0.25">
      <c r="A90" t="s">
        <v>76</v>
      </c>
      <c r="B90">
        <v>952</v>
      </c>
      <c r="C90" t="s">
        <v>286</v>
      </c>
      <c r="D90" t="s">
        <v>8</v>
      </c>
      <c r="E90" t="s">
        <v>24</v>
      </c>
      <c r="F90" t="str">
        <f t="shared" si="1"/>
        <v>Nightblade - Siphoning - Leeching Strikes</v>
      </c>
    </row>
    <row r="91" spans="1:6" x14ac:dyDescent="0.25">
      <c r="A91" t="s">
        <v>205</v>
      </c>
      <c r="B91">
        <v>3240</v>
      </c>
      <c r="C91" t="s">
        <v>286</v>
      </c>
      <c r="D91" t="s">
        <v>8</v>
      </c>
      <c r="E91" t="s">
        <v>25</v>
      </c>
      <c r="F91" t="str">
        <f t="shared" si="1"/>
        <v>Nightblade - Siphoning - Sap Essence</v>
      </c>
    </row>
    <row r="92" spans="1:6" x14ac:dyDescent="0.25">
      <c r="A92" t="s">
        <v>273</v>
      </c>
      <c r="B92">
        <v>2754</v>
      </c>
      <c r="C92" t="s">
        <v>286</v>
      </c>
      <c r="D92" t="s">
        <v>8</v>
      </c>
      <c r="E92" t="s">
        <v>24</v>
      </c>
      <c r="F92" t="str">
        <f t="shared" si="1"/>
        <v>Nightblade - Siphoning - Power Extraction</v>
      </c>
    </row>
    <row r="93" spans="1:6" x14ac:dyDescent="0.25">
      <c r="A93" t="s">
        <v>173</v>
      </c>
      <c r="B93">
        <v>3510</v>
      </c>
      <c r="C93" t="s">
        <v>281</v>
      </c>
      <c r="D93" t="s">
        <v>15</v>
      </c>
      <c r="E93" t="s">
        <v>25</v>
      </c>
      <c r="F93" t="str">
        <f t="shared" si="1"/>
        <v>Sorcerer - Daedric Summoning - Clannfear/Volatile Familiar</v>
      </c>
    </row>
    <row r="94" spans="1:6" x14ac:dyDescent="0.25">
      <c r="A94" t="s">
        <v>174</v>
      </c>
      <c r="B94">
        <v>2910</v>
      </c>
      <c r="C94" t="s">
        <v>281</v>
      </c>
      <c r="D94" t="s">
        <v>15</v>
      </c>
      <c r="E94" t="s">
        <v>25</v>
      </c>
      <c r="F94" t="str">
        <f t="shared" si="1"/>
        <v>Sorcerer - Daedric Summoning - Haunting Curse/Daedric Prey</v>
      </c>
    </row>
    <row r="95" spans="1:6" x14ac:dyDescent="0.25">
      <c r="A95" t="s">
        <v>175</v>
      </c>
      <c r="B95">
        <v>3603</v>
      </c>
      <c r="C95" t="s">
        <v>281</v>
      </c>
      <c r="D95" t="s">
        <v>15</v>
      </c>
      <c r="E95" t="s">
        <v>25</v>
      </c>
      <c r="F95" t="str">
        <f t="shared" si="1"/>
        <v>Sorcerer - Daedric Summoning - Twilight Matriarch</v>
      </c>
    </row>
    <row r="96" spans="1:6" x14ac:dyDescent="0.25">
      <c r="A96" t="s">
        <v>176</v>
      </c>
      <c r="B96">
        <v>3510</v>
      </c>
      <c r="C96" t="s">
        <v>281</v>
      </c>
      <c r="D96" t="s">
        <v>15</v>
      </c>
      <c r="E96" t="s">
        <v>25</v>
      </c>
      <c r="F96" t="str">
        <f t="shared" si="1"/>
        <v>Sorcerer - Daedric Summoning - Hardened Ward/Empowered Ward</v>
      </c>
    </row>
    <row r="97" spans="1:6" x14ac:dyDescent="0.25">
      <c r="A97" t="s">
        <v>177</v>
      </c>
      <c r="B97">
        <v>4050</v>
      </c>
      <c r="C97" t="s">
        <v>282</v>
      </c>
      <c r="D97" t="s">
        <v>15</v>
      </c>
      <c r="E97" t="s">
        <v>25</v>
      </c>
      <c r="F97" t="str">
        <f t="shared" si="1"/>
        <v>Sorcerer - Dark Magic - Crystal Blast</v>
      </c>
    </row>
    <row r="98" spans="1:6" x14ac:dyDescent="0.25">
      <c r="A98" t="s">
        <v>178</v>
      </c>
      <c r="B98">
        <v>2025</v>
      </c>
      <c r="C98" t="s">
        <v>282</v>
      </c>
      <c r="D98" t="s">
        <v>15</v>
      </c>
      <c r="E98" t="s">
        <v>25</v>
      </c>
      <c r="F98" t="str">
        <f t="shared" si="1"/>
        <v>Sorcerer - Dark Magic - Crystal Fragments (on proc)</v>
      </c>
    </row>
    <row r="99" spans="1:6" x14ac:dyDescent="0.25">
      <c r="A99" t="s">
        <v>179</v>
      </c>
      <c r="B99">
        <v>2160</v>
      </c>
      <c r="C99" t="s">
        <v>282</v>
      </c>
      <c r="D99" t="s">
        <v>15</v>
      </c>
      <c r="E99" t="s">
        <v>25</v>
      </c>
      <c r="F99" t="str">
        <f t="shared" si="1"/>
        <v>Sorcerer - Dark Magic - Rune Prison</v>
      </c>
    </row>
    <row r="100" spans="1:6" x14ac:dyDescent="0.25">
      <c r="A100" t="s">
        <v>180</v>
      </c>
      <c r="B100">
        <v>3240</v>
      </c>
      <c r="C100" t="s">
        <v>282</v>
      </c>
      <c r="D100" t="s">
        <v>15</v>
      </c>
      <c r="E100" t="s">
        <v>25</v>
      </c>
      <c r="F100" t="str">
        <f t="shared" si="1"/>
        <v>Sorcerer - Dark Magic - Dark Deal</v>
      </c>
    </row>
    <row r="101" spans="1:6" x14ac:dyDescent="0.25">
      <c r="A101" t="s">
        <v>187</v>
      </c>
      <c r="B101">
        <v>3240</v>
      </c>
      <c r="C101" t="s">
        <v>282</v>
      </c>
      <c r="D101" t="s">
        <v>15</v>
      </c>
      <c r="E101" t="s">
        <v>24</v>
      </c>
      <c r="F101" t="str">
        <f t="shared" si="1"/>
        <v>Sorcerer - Dark Magic - Dark Conversion</v>
      </c>
    </row>
    <row r="102" spans="1:6" x14ac:dyDescent="0.25">
      <c r="A102" t="s">
        <v>188</v>
      </c>
      <c r="B102">
        <v>6240</v>
      </c>
      <c r="C102" t="s">
        <v>282</v>
      </c>
      <c r="D102" t="s">
        <v>15</v>
      </c>
      <c r="E102" t="s">
        <v>25</v>
      </c>
      <c r="F102" t="str">
        <f t="shared" si="1"/>
        <v>Sorcerer - Dark Magic - Daedric Tomb/Minefield</v>
      </c>
    </row>
    <row r="103" spans="1:6" x14ac:dyDescent="0.25">
      <c r="A103" t="s">
        <v>189</v>
      </c>
      <c r="B103">
        <v>3464</v>
      </c>
      <c r="C103" t="s">
        <v>282</v>
      </c>
      <c r="D103" t="s">
        <v>15</v>
      </c>
      <c r="E103" t="s">
        <v>25</v>
      </c>
      <c r="F103" t="str">
        <f t="shared" si="1"/>
        <v>Sorcerer - Dark Magic - Restraining/Shattering Prison</v>
      </c>
    </row>
    <row r="104" spans="1:6" x14ac:dyDescent="0.25">
      <c r="A104" t="s">
        <v>181</v>
      </c>
      <c r="B104">
        <v>2430</v>
      </c>
      <c r="C104" t="s">
        <v>283</v>
      </c>
      <c r="D104" t="s">
        <v>15</v>
      </c>
      <c r="E104" t="s">
        <v>25</v>
      </c>
      <c r="F104" t="str">
        <f t="shared" si="1"/>
        <v>Sorcerer - Storm Calling - Mages Wrath/Endless Fury</v>
      </c>
    </row>
    <row r="105" spans="1:6" x14ac:dyDescent="0.25">
      <c r="A105" t="s">
        <v>182</v>
      </c>
      <c r="B105">
        <v>4050</v>
      </c>
      <c r="C105" t="s">
        <v>283</v>
      </c>
      <c r="D105" t="s">
        <v>15</v>
      </c>
      <c r="E105" t="s">
        <v>25</v>
      </c>
      <c r="F105" t="str">
        <f t="shared" si="1"/>
        <v>Sorcerer - Storm Calling - Boundless Storm</v>
      </c>
    </row>
    <row r="106" spans="1:6" x14ac:dyDescent="0.25">
      <c r="A106" t="s">
        <v>183</v>
      </c>
      <c r="B106">
        <v>3442.5</v>
      </c>
      <c r="C106" t="s">
        <v>283</v>
      </c>
      <c r="D106" t="s">
        <v>15</v>
      </c>
      <c r="E106" t="s">
        <v>24</v>
      </c>
      <c r="F106" t="str">
        <f t="shared" si="1"/>
        <v>Sorcerer - Storm Calling - Hurricane</v>
      </c>
    </row>
    <row r="107" spans="1:6" x14ac:dyDescent="0.25">
      <c r="A107" t="s">
        <v>184</v>
      </c>
      <c r="B107">
        <v>3510</v>
      </c>
      <c r="C107" t="s">
        <v>283</v>
      </c>
      <c r="D107" t="s">
        <v>15</v>
      </c>
      <c r="E107" t="s">
        <v>25</v>
      </c>
      <c r="F107" t="str">
        <f t="shared" si="1"/>
        <v>Sorcerer - Storm Calling - Liquid Lightning</v>
      </c>
    </row>
    <row r="108" spans="1:6" x14ac:dyDescent="0.25">
      <c r="A108" t="s">
        <v>185</v>
      </c>
      <c r="B108">
        <v>4050</v>
      </c>
      <c r="C108" t="s">
        <v>283</v>
      </c>
      <c r="D108" t="s">
        <v>15</v>
      </c>
      <c r="E108" t="s">
        <v>25</v>
      </c>
      <c r="F108" t="str">
        <f t="shared" si="1"/>
        <v>Sorcerer - Storm Calling - Power Surge/Crit Surge</v>
      </c>
    </row>
    <row r="109" spans="1:6" x14ac:dyDescent="0.25">
      <c r="A109" t="s">
        <v>186</v>
      </c>
      <c r="B109">
        <v>3780</v>
      </c>
      <c r="C109" t="s">
        <v>283</v>
      </c>
      <c r="D109" t="s">
        <v>15</v>
      </c>
      <c r="E109" t="s">
        <v>25</v>
      </c>
      <c r="F109" t="str">
        <f t="shared" si="1"/>
        <v>Sorcerer - Storm Calling - Streak/Ball of Lightning</v>
      </c>
    </row>
    <row r="110" spans="1:6" x14ac:dyDescent="0.25">
      <c r="A110" t="s">
        <v>215</v>
      </c>
      <c r="B110">
        <v>2952</v>
      </c>
      <c r="C110" t="s">
        <v>289</v>
      </c>
      <c r="D110" t="s">
        <v>16</v>
      </c>
      <c r="E110" t="s">
        <v>25</v>
      </c>
      <c r="F110" t="str">
        <f t="shared" si="1"/>
        <v>Templar - Aedric Spear - Puncturing Sweeps</v>
      </c>
    </row>
    <row r="111" spans="1:6" x14ac:dyDescent="0.25">
      <c r="A111" t="s">
        <v>216</v>
      </c>
      <c r="B111">
        <v>2509.1999999999998</v>
      </c>
      <c r="C111" t="s">
        <v>289</v>
      </c>
      <c r="D111" t="s">
        <v>16</v>
      </c>
      <c r="E111" t="s">
        <v>24</v>
      </c>
      <c r="F111" t="str">
        <f t="shared" si="1"/>
        <v>Templar - Aedric Spear - Biting Jabs</v>
      </c>
    </row>
    <row r="112" spans="1:6" x14ac:dyDescent="0.25">
      <c r="A112" t="s">
        <v>349</v>
      </c>
      <c r="B112">
        <v>4050</v>
      </c>
      <c r="C112" t="s">
        <v>289</v>
      </c>
      <c r="D112" t="s">
        <v>16</v>
      </c>
      <c r="E112" t="s">
        <v>25</v>
      </c>
      <c r="F112" t="str">
        <f t="shared" si="1"/>
        <v>Templar - Aedric Spear - Aurora Javelin</v>
      </c>
    </row>
    <row r="113" spans="1:6" x14ac:dyDescent="0.25">
      <c r="A113" t="s">
        <v>348</v>
      </c>
      <c r="B113">
        <v>3442.5</v>
      </c>
      <c r="C113" t="s">
        <v>289</v>
      </c>
      <c r="D113" t="s">
        <v>16</v>
      </c>
      <c r="E113" t="s">
        <v>24</v>
      </c>
      <c r="F113" t="str">
        <f t="shared" si="1"/>
        <v>Templar - Aedric Spear - Binding Javelin</v>
      </c>
    </row>
    <row r="114" spans="1:6" x14ac:dyDescent="0.25">
      <c r="A114" t="s">
        <v>217</v>
      </c>
      <c r="B114">
        <v>3540</v>
      </c>
      <c r="C114" t="s">
        <v>289</v>
      </c>
      <c r="D114" t="s">
        <v>16</v>
      </c>
      <c r="E114" t="s">
        <v>25</v>
      </c>
      <c r="F114" t="str">
        <f t="shared" si="1"/>
        <v>Templar - Aedric Spear - Focused Charge</v>
      </c>
    </row>
    <row r="115" spans="1:6" x14ac:dyDescent="0.25">
      <c r="A115" t="s">
        <v>218</v>
      </c>
      <c r="B115">
        <v>3240</v>
      </c>
      <c r="C115" t="s">
        <v>289</v>
      </c>
      <c r="D115" t="s">
        <v>16</v>
      </c>
      <c r="E115" t="s">
        <v>25</v>
      </c>
      <c r="F115" t="str">
        <f t="shared" si="1"/>
        <v>Templar - Aedric Spear - Luminous Shards/Blazing Spear</v>
      </c>
    </row>
    <row r="116" spans="1:6" x14ac:dyDescent="0.25">
      <c r="A116" t="s">
        <v>219</v>
      </c>
      <c r="B116">
        <v>4320</v>
      </c>
      <c r="C116" t="s">
        <v>289</v>
      </c>
      <c r="D116" t="s">
        <v>16</v>
      </c>
      <c r="E116" t="s">
        <v>25</v>
      </c>
      <c r="F116" t="str">
        <f t="shared" si="1"/>
        <v>Templar - Aedric Spear - Sun Shield</v>
      </c>
    </row>
    <row r="117" spans="1:6" x14ac:dyDescent="0.25">
      <c r="A117" t="s">
        <v>210</v>
      </c>
      <c r="B117">
        <v>2700</v>
      </c>
      <c r="C117" t="s">
        <v>288</v>
      </c>
      <c r="D117" t="s">
        <v>16</v>
      </c>
      <c r="E117" t="s">
        <v>25</v>
      </c>
      <c r="F117" t="str">
        <f t="shared" si="1"/>
        <v>Templar - Dawn's Wrath - Reflective Light/Vampire's Bane</v>
      </c>
    </row>
    <row r="118" spans="1:6" x14ac:dyDescent="0.25">
      <c r="A118" t="s">
        <v>211</v>
      </c>
      <c r="B118">
        <v>3240</v>
      </c>
      <c r="C118" t="s">
        <v>288</v>
      </c>
      <c r="D118" t="s">
        <v>16</v>
      </c>
      <c r="E118" t="s">
        <v>25</v>
      </c>
      <c r="F118" t="str">
        <f t="shared" si="1"/>
        <v>Templar - Dawn's Wrath - Solar Flare</v>
      </c>
    </row>
    <row r="119" spans="1:6" x14ac:dyDescent="0.25">
      <c r="A119" t="s">
        <v>212</v>
      </c>
      <c r="B119">
        <v>1890</v>
      </c>
      <c r="C119" t="s">
        <v>288</v>
      </c>
      <c r="D119" t="s">
        <v>16</v>
      </c>
      <c r="E119" t="s">
        <v>25</v>
      </c>
      <c r="F119" t="str">
        <f t="shared" si="1"/>
        <v>Templar - Dawn's Wrath - Backlash</v>
      </c>
    </row>
    <row r="120" spans="1:6" x14ac:dyDescent="0.25">
      <c r="A120" t="s">
        <v>321</v>
      </c>
      <c r="B120">
        <v>1606.5</v>
      </c>
      <c r="C120" t="s">
        <v>288</v>
      </c>
      <c r="D120" t="s">
        <v>16</v>
      </c>
      <c r="E120" t="s">
        <v>24</v>
      </c>
      <c r="F120" t="str">
        <f t="shared" si="1"/>
        <v>Templar - Dawn's Wrath - Power of the Light</v>
      </c>
    </row>
    <row r="121" spans="1:6" x14ac:dyDescent="0.25">
      <c r="A121" t="s">
        <v>213</v>
      </c>
      <c r="B121">
        <v>4050</v>
      </c>
      <c r="C121" t="s">
        <v>288</v>
      </c>
      <c r="D121" t="s">
        <v>16</v>
      </c>
      <c r="E121" t="s">
        <v>25</v>
      </c>
      <c r="F121" t="str">
        <f t="shared" si="1"/>
        <v>Templar - Dawn's Wrath - Eclipse</v>
      </c>
    </row>
    <row r="122" spans="1:6" x14ac:dyDescent="0.25">
      <c r="A122" t="s">
        <v>214</v>
      </c>
      <c r="B122">
        <v>4590</v>
      </c>
      <c r="C122" t="s">
        <v>288</v>
      </c>
      <c r="D122" t="s">
        <v>16</v>
      </c>
      <c r="E122" t="s">
        <v>25</v>
      </c>
      <c r="F122" t="str">
        <f t="shared" si="1"/>
        <v>Templar - Dawn's Wrath - Radiant Destruction/Oppression</v>
      </c>
    </row>
    <row r="123" spans="1:6" x14ac:dyDescent="0.25">
      <c r="A123" t="s">
        <v>220</v>
      </c>
      <c r="B123">
        <v>4590</v>
      </c>
      <c r="C123" t="s">
        <v>290</v>
      </c>
      <c r="D123" t="s">
        <v>16</v>
      </c>
      <c r="E123" t="s">
        <v>25</v>
      </c>
      <c r="F123" t="str">
        <f t="shared" si="1"/>
        <v>Templar - Restoring Light - Breath of Life/Honour the Dead</v>
      </c>
    </row>
    <row r="124" spans="1:6" x14ac:dyDescent="0.25">
      <c r="A124" t="s">
        <v>221</v>
      </c>
      <c r="B124">
        <v>3780</v>
      </c>
      <c r="C124" t="s">
        <v>290</v>
      </c>
      <c r="D124" t="s">
        <v>16</v>
      </c>
      <c r="E124" t="s">
        <v>25</v>
      </c>
      <c r="F124" t="str">
        <f t="shared" si="1"/>
        <v>Templar - Restoring Light - Healing Ritual</v>
      </c>
    </row>
    <row r="125" spans="1:6" x14ac:dyDescent="0.25">
      <c r="A125" t="s">
        <v>222</v>
      </c>
      <c r="B125">
        <v>3510</v>
      </c>
      <c r="C125" t="s">
        <v>290</v>
      </c>
      <c r="D125" t="s">
        <v>16</v>
      </c>
      <c r="E125" t="s">
        <v>25</v>
      </c>
      <c r="F125" t="str">
        <f t="shared" si="1"/>
        <v>Templar - Restoring Light - Radiant Aura</v>
      </c>
    </row>
    <row r="126" spans="1:6" x14ac:dyDescent="0.25">
      <c r="A126" t="s">
        <v>223</v>
      </c>
      <c r="B126">
        <v>3780</v>
      </c>
      <c r="C126" t="s">
        <v>290</v>
      </c>
      <c r="D126" t="s">
        <v>16</v>
      </c>
      <c r="E126" t="s">
        <v>25</v>
      </c>
      <c r="F126" t="str">
        <f t="shared" si="1"/>
        <v>Templar - Restoring Light - Extended Ritual/Ritual of Retribution</v>
      </c>
    </row>
    <row r="127" spans="1:6" x14ac:dyDescent="0.25">
      <c r="A127" t="s">
        <v>224</v>
      </c>
      <c r="B127">
        <v>1890</v>
      </c>
      <c r="C127" t="s">
        <v>290</v>
      </c>
      <c r="D127" t="s">
        <v>16</v>
      </c>
      <c r="E127" t="s">
        <v>25</v>
      </c>
      <c r="F127" t="str">
        <f t="shared" si="1"/>
        <v>Templar - Restoring Light - Concentrated Focus</v>
      </c>
    </row>
    <row r="128" spans="1:6" x14ac:dyDescent="0.25">
      <c r="A128" t="s">
        <v>225</v>
      </c>
      <c r="B128">
        <v>1080</v>
      </c>
      <c r="C128" t="s">
        <v>290</v>
      </c>
      <c r="D128" t="s">
        <v>16</v>
      </c>
      <c r="E128" t="s">
        <v>25</v>
      </c>
      <c r="F128" t="str">
        <f t="shared" si="1"/>
        <v>Templar - Restoring Light - Channeled Focus</v>
      </c>
    </row>
    <row r="129" spans="1:6" x14ac:dyDescent="0.25">
      <c r="A129" t="s">
        <v>340</v>
      </c>
      <c r="B129">
        <v>2430</v>
      </c>
      <c r="C129" t="s">
        <v>300</v>
      </c>
      <c r="D129" t="s">
        <v>13</v>
      </c>
      <c r="E129" t="s">
        <v>25</v>
      </c>
      <c r="F129" t="str">
        <f t="shared" si="1"/>
        <v>Warden - Animal Companion - Screaming Cliffracer</v>
      </c>
    </row>
    <row r="130" spans="1:6" x14ac:dyDescent="0.25">
      <c r="A130" t="s">
        <v>343</v>
      </c>
      <c r="B130">
        <v>3240</v>
      </c>
      <c r="C130" t="s">
        <v>300</v>
      </c>
      <c r="D130" t="s">
        <v>13</v>
      </c>
      <c r="E130" t="s">
        <v>25</v>
      </c>
      <c r="F130" t="str">
        <f t="shared" si="1"/>
        <v>Warden - Animal Companion - Deep Fissure</v>
      </c>
    </row>
    <row r="131" spans="1:6" x14ac:dyDescent="0.25">
      <c r="A131" t="s">
        <v>265</v>
      </c>
      <c r="B131">
        <v>2754</v>
      </c>
      <c r="C131" t="s">
        <v>300</v>
      </c>
      <c r="D131" t="s">
        <v>13</v>
      </c>
      <c r="E131" t="s">
        <v>24</v>
      </c>
      <c r="F131" t="str">
        <f t="shared" ref="F131:F149" si="2">_xlfn.TEXTJOIN(" - ",1,D131,C131,A131)</f>
        <v>Warden - Animal Companion - Subterranean Assault</v>
      </c>
    </row>
    <row r="132" spans="1:6" x14ac:dyDescent="0.25">
      <c r="A132" t="s">
        <v>266</v>
      </c>
      <c r="B132">
        <v>1890</v>
      </c>
      <c r="C132" t="s">
        <v>300</v>
      </c>
      <c r="D132" t="s">
        <v>13</v>
      </c>
      <c r="E132" t="s">
        <v>25</v>
      </c>
      <c r="F132" t="str">
        <f t="shared" si="2"/>
        <v>Warden - Animal Companion - Swarm</v>
      </c>
    </row>
    <row r="133" spans="1:6" x14ac:dyDescent="0.25">
      <c r="A133" t="s">
        <v>267</v>
      </c>
      <c r="B133">
        <v>0</v>
      </c>
      <c r="C133" t="s">
        <v>300</v>
      </c>
      <c r="D133" t="s">
        <v>13</v>
      </c>
      <c r="E133" t="s">
        <v>25</v>
      </c>
      <c r="F133" t="str">
        <f t="shared" si="2"/>
        <v>Warden - Animal Companion - Blue Betty</v>
      </c>
    </row>
    <row r="134" spans="1:6" x14ac:dyDescent="0.25">
      <c r="A134" t="s">
        <v>93</v>
      </c>
      <c r="B134">
        <v>0</v>
      </c>
      <c r="C134" t="s">
        <v>300</v>
      </c>
      <c r="D134" t="s">
        <v>13</v>
      </c>
      <c r="E134" t="s">
        <v>24</v>
      </c>
      <c r="F134" t="str">
        <f t="shared" si="2"/>
        <v>Warden - Animal Companion - Bull Netch</v>
      </c>
    </row>
    <row r="135" spans="1:6" x14ac:dyDescent="0.25">
      <c r="A135" t="s">
        <v>268</v>
      </c>
      <c r="B135">
        <v>3510</v>
      </c>
      <c r="C135" t="s">
        <v>300</v>
      </c>
      <c r="D135" t="s">
        <v>13</v>
      </c>
      <c r="E135" t="s">
        <v>25</v>
      </c>
      <c r="F135" t="str">
        <f t="shared" si="2"/>
        <v>Warden - Animal Companion - Falcon's Swiftness</v>
      </c>
    </row>
    <row r="136" spans="1:6" x14ac:dyDescent="0.25">
      <c r="A136" t="s">
        <v>342</v>
      </c>
      <c r="B136">
        <v>2065.5</v>
      </c>
      <c r="C136" t="s">
        <v>300</v>
      </c>
      <c r="D136" t="s">
        <v>13</v>
      </c>
      <c r="E136" t="s">
        <v>24</v>
      </c>
      <c r="F136" t="str">
        <f t="shared" si="2"/>
        <v>Warden - Animal Companion - Cutting Dive</v>
      </c>
    </row>
    <row r="137" spans="1:6" x14ac:dyDescent="0.25">
      <c r="A137" t="s">
        <v>345</v>
      </c>
      <c r="B137">
        <v>4590</v>
      </c>
      <c r="C137" t="s">
        <v>301</v>
      </c>
      <c r="D137" t="s">
        <v>13</v>
      </c>
      <c r="E137" t="s">
        <v>25</v>
      </c>
      <c r="F137" t="str">
        <f t="shared" si="2"/>
        <v>Warden - Green Balance - Enchanted Growth</v>
      </c>
    </row>
    <row r="138" spans="1:6" x14ac:dyDescent="0.25">
      <c r="A138" t="s">
        <v>344</v>
      </c>
      <c r="B138">
        <v>3901.5</v>
      </c>
      <c r="C138" t="s">
        <v>301</v>
      </c>
      <c r="D138" t="s">
        <v>13</v>
      </c>
      <c r="E138" t="s">
        <v>24</v>
      </c>
      <c r="F138" t="str">
        <f t="shared" si="2"/>
        <v>Warden - Green Balance - Soothing Spores</v>
      </c>
    </row>
    <row r="139" spans="1:6" x14ac:dyDescent="0.25">
      <c r="A139" t="s">
        <v>269</v>
      </c>
      <c r="B139">
        <v>3240</v>
      </c>
      <c r="C139" t="s">
        <v>301</v>
      </c>
      <c r="D139" t="s">
        <v>13</v>
      </c>
      <c r="E139" t="s">
        <v>25</v>
      </c>
      <c r="F139" t="str">
        <f t="shared" si="2"/>
        <v>Warden - Green Balance - Healing Seed</v>
      </c>
    </row>
    <row r="140" spans="1:6" x14ac:dyDescent="0.25">
      <c r="A140" t="s">
        <v>270</v>
      </c>
      <c r="B140">
        <v>2700</v>
      </c>
      <c r="C140" t="s">
        <v>301</v>
      </c>
      <c r="D140" t="s">
        <v>13</v>
      </c>
      <c r="E140" t="s">
        <v>25</v>
      </c>
      <c r="F140" t="str">
        <f t="shared" si="2"/>
        <v>Warden - Green Balance - Living Trellis/Leeching Vines</v>
      </c>
    </row>
    <row r="141" spans="1:6" x14ac:dyDescent="0.25">
      <c r="A141" t="s">
        <v>271</v>
      </c>
      <c r="B141">
        <v>2970</v>
      </c>
      <c r="C141" t="s">
        <v>301</v>
      </c>
      <c r="D141" t="s">
        <v>13</v>
      </c>
      <c r="E141" t="s">
        <v>25</v>
      </c>
      <c r="F141" t="str">
        <f t="shared" si="2"/>
        <v>Warden - Green Balance - Green Lotus/Lotus Blossom</v>
      </c>
    </row>
    <row r="142" spans="1:6" x14ac:dyDescent="0.25">
      <c r="A142" t="s">
        <v>272</v>
      </c>
      <c r="B142">
        <v>4050</v>
      </c>
      <c r="C142" t="s">
        <v>301</v>
      </c>
      <c r="D142" t="s">
        <v>13</v>
      </c>
      <c r="E142" t="s">
        <v>25</v>
      </c>
      <c r="F142" t="str">
        <f t="shared" si="2"/>
        <v>Warden - Green Balance - Nature's Grasp</v>
      </c>
    </row>
    <row r="143" spans="1:6" x14ac:dyDescent="0.25">
      <c r="A143" t="s">
        <v>346</v>
      </c>
      <c r="B143">
        <v>3049</v>
      </c>
      <c r="C143" t="s">
        <v>301</v>
      </c>
      <c r="D143" t="s">
        <v>13</v>
      </c>
      <c r="E143" t="s">
        <v>25</v>
      </c>
      <c r="F143" t="str">
        <f t="shared" si="2"/>
        <v>Warden - Green Balance - Expansive Frost Cloak</v>
      </c>
    </row>
    <row r="144" spans="1:6" x14ac:dyDescent="0.25">
      <c r="A144" t="s">
        <v>347</v>
      </c>
      <c r="B144">
        <v>4050</v>
      </c>
      <c r="C144" t="s">
        <v>299</v>
      </c>
      <c r="D144" t="s">
        <v>13</v>
      </c>
      <c r="E144" t="s">
        <v>25</v>
      </c>
      <c r="F144" t="str">
        <f t="shared" si="2"/>
        <v>Warden - Winter's Embrace - Ice Fortress</v>
      </c>
    </row>
    <row r="145" spans="1:6" x14ac:dyDescent="0.25">
      <c r="A145" t="s">
        <v>259</v>
      </c>
      <c r="B145">
        <v>3511</v>
      </c>
      <c r="C145" t="s">
        <v>299</v>
      </c>
      <c r="D145" t="s">
        <v>13</v>
      </c>
      <c r="E145" t="s">
        <v>25</v>
      </c>
      <c r="F145" t="str">
        <f t="shared" si="2"/>
        <v>Warden - Winter's Embrace - Impaling Shards</v>
      </c>
    </row>
    <row r="146" spans="1:6" x14ac:dyDescent="0.25">
      <c r="A146" t="s">
        <v>260</v>
      </c>
      <c r="B146">
        <v>4321</v>
      </c>
      <c r="C146" t="s">
        <v>299</v>
      </c>
      <c r="D146" t="s">
        <v>13</v>
      </c>
      <c r="E146" t="s">
        <v>25</v>
      </c>
      <c r="F146" t="str">
        <f t="shared" si="2"/>
        <v>Warden - Winter's Embrace - Arctic Wind</v>
      </c>
    </row>
    <row r="147" spans="1:6" x14ac:dyDescent="0.25">
      <c r="A147" t="s">
        <v>261</v>
      </c>
      <c r="B147">
        <v>2701</v>
      </c>
      <c r="C147" t="s">
        <v>299</v>
      </c>
      <c r="D147" t="s">
        <v>13</v>
      </c>
      <c r="E147" t="s">
        <v>25</v>
      </c>
      <c r="F147" t="str">
        <f t="shared" si="2"/>
        <v>Warden - Winter's Embrace - Crystallized Shield</v>
      </c>
    </row>
    <row r="148" spans="1:6" x14ac:dyDescent="0.25">
      <c r="A148" t="s">
        <v>262</v>
      </c>
      <c r="B148">
        <v>2701</v>
      </c>
      <c r="C148" t="s">
        <v>299</v>
      </c>
      <c r="D148" t="s">
        <v>13</v>
      </c>
      <c r="E148" t="s">
        <v>25</v>
      </c>
      <c r="F148" t="str">
        <f t="shared" si="2"/>
        <v>Warden - Winter's Embrace - Frozen Gate</v>
      </c>
    </row>
    <row r="149" spans="1:6" x14ac:dyDescent="0.25">
      <c r="A149" t="s">
        <v>305</v>
      </c>
      <c r="B149">
        <v>0</v>
      </c>
      <c r="C149" t="s">
        <v>353</v>
      </c>
      <c r="D149" t="s">
        <v>366</v>
      </c>
      <c r="E149" t="s">
        <v>322</v>
      </c>
      <c r="F149" t="str">
        <f t="shared" si="2"/>
        <v>All Classes - AAA - Heavy Attack</v>
      </c>
    </row>
  </sheetData>
  <sortState ref="A2:E149">
    <sortCondition ref="D2:D149"/>
    <sortCondition ref="C2:C149"/>
  </sortState>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dimension ref="A1:K107"/>
  <sheetViews>
    <sheetView topLeftCell="A31" zoomScaleNormal="60" zoomScaleSheetLayoutView="100" workbookViewId="0">
      <selection activeCell="D52" sqref="D52:E59"/>
    </sheetView>
  </sheetViews>
  <sheetFormatPr baseColWidth="10" defaultColWidth="9.140625" defaultRowHeight="15" x14ac:dyDescent="0.25"/>
  <cols>
    <col min="1" max="1" width="28.5703125" bestFit="1" customWidth="1"/>
  </cols>
  <sheetData>
    <row r="1" spans="1:6" x14ac:dyDescent="0.25">
      <c r="A1" t="s">
        <v>15</v>
      </c>
    </row>
    <row r="2" spans="1:6" x14ac:dyDescent="0.25">
      <c r="A2" t="s">
        <v>24</v>
      </c>
    </row>
    <row r="3" spans="1:6" x14ac:dyDescent="0.25">
      <c r="A3" t="s">
        <v>245</v>
      </c>
      <c r="B3">
        <v>3</v>
      </c>
      <c r="E3" t="s">
        <v>245</v>
      </c>
      <c r="F3">
        <v>4</v>
      </c>
    </row>
    <row r="4" spans="1:6" x14ac:dyDescent="0.25">
      <c r="A4" t="s">
        <v>130</v>
      </c>
      <c r="B4">
        <v>1</v>
      </c>
      <c r="E4" t="s">
        <v>183</v>
      </c>
      <c r="F4">
        <v>0.5</v>
      </c>
    </row>
    <row r="5" spans="1:6" x14ac:dyDescent="0.25">
      <c r="A5" t="s">
        <v>244</v>
      </c>
      <c r="B5">
        <v>1</v>
      </c>
      <c r="E5" t="s">
        <v>185</v>
      </c>
      <c r="F5">
        <v>0.33</v>
      </c>
    </row>
    <row r="6" spans="1:6" x14ac:dyDescent="0.25">
      <c r="A6" t="s">
        <v>183</v>
      </c>
      <c r="B6">
        <v>1</v>
      </c>
      <c r="E6" t="s">
        <v>232</v>
      </c>
      <c r="F6">
        <v>1</v>
      </c>
    </row>
    <row r="7" spans="1:6" x14ac:dyDescent="0.25">
      <c r="A7" t="s">
        <v>232</v>
      </c>
      <c r="B7">
        <v>1</v>
      </c>
      <c r="E7" t="s">
        <v>236</v>
      </c>
      <c r="F7">
        <v>1</v>
      </c>
    </row>
    <row r="8" spans="1:6" x14ac:dyDescent="0.25">
      <c r="A8" t="s">
        <v>235</v>
      </c>
      <c r="B8">
        <v>1</v>
      </c>
      <c r="E8" t="s">
        <v>244</v>
      </c>
      <c r="F8">
        <v>1</v>
      </c>
    </row>
    <row r="9" spans="1:6" x14ac:dyDescent="0.25">
      <c r="A9" t="s">
        <v>236</v>
      </c>
      <c r="B9">
        <v>1</v>
      </c>
      <c r="E9" t="s">
        <v>235</v>
      </c>
      <c r="F9">
        <v>1</v>
      </c>
    </row>
    <row r="10" spans="1:6" x14ac:dyDescent="0.25">
      <c r="A10" t="s">
        <v>209</v>
      </c>
      <c r="B10">
        <v>0.5</v>
      </c>
      <c r="E10" t="s">
        <v>209</v>
      </c>
      <c r="F10">
        <v>0.5</v>
      </c>
    </row>
    <row r="11" spans="1:6" x14ac:dyDescent="0.25">
      <c r="A11" t="s">
        <v>305</v>
      </c>
      <c r="B11">
        <v>1</v>
      </c>
    </row>
    <row r="12" spans="1:6" x14ac:dyDescent="0.25">
      <c r="A12" t="s">
        <v>304</v>
      </c>
    </row>
    <row r="13" spans="1:6" x14ac:dyDescent="0.25">
      <c r="A13" t="s">
        <v>304</v>
      </c>
    </row>
    <row r="14" spans="1:6" x14ac:dyDescent="0.25">
      <c r="A14" t="s">
        <v>304</v>
      </c>
    </row>
    <row r="15" spans="1:6" x14ac:dyDescent="0.25">
      <c r="A15" t="s">
        <v>304</v>
      </c>
    </row>
    <row r="16" spans="1:6" x14ac:dyDescent="0.25">
      <c r="A16" t="s">
        <v>304</v>
      </c>
    </row>
    <row r="17" spans="1:11" x14ac:dyDescent="0.25">
      <c r="A17" t="s">
        <v>304</v>
      </c>
    </row>
    <row r="18" spans="1:11" x14ac:dyDescent="0.25">
      <c r="A18" t="s">
        <v>15</v>
      </c>
    </row>
    <row r="19" spans="1:11" x14ac:dyDescent="0.25">
      <c r="A19" t="s">
        <v>25</v>
      </c>
    </row>
    <row r="20" spans="1:11" x14ac:dyDescent="0.25">
      <c r="A20" t="s">
        <v>128</v>
      </c>
      <c r="B20">
        <v>5</v>
      </c>
      <c r="E20" t="s">
        <v>128</v>
      </c>
      <c r="F20">
        <v>3</v>
      </c>
      <c r="J20" t="s">
        <v>128</v>
      </c>
      <c r="K20">
        <v>4</v>
      </c>
    </row>
    <row r="21" spans="1:11" x14ac:dyDescent="0.25">
      <c r="A21" t="s">
        <v>174</v>
      </c>
      <c r="B21">
        <v>1</v>
      </c>
      <c r="E21" t="s">
        <v>174</v>
      </c>
      <c r="F21">
        <v>1</v>
      </c>
      <c r="J21" t="s">
        <v>174</v>
      </c>
      <c r="K21">
        <v>2</v>
      </c>
    </row>
    <row r="22" spans="1:11" x14ac:dyDescent="0.25">
      <c r="A22" t="s">
        <v>178</v>
      </c>
      <c r="B22">
        <v>2</v>
      </c>
      <c r="E22" t="s">
        <v>178</v>
      </c>
      <c r="F22">
        <v>1</v>
      </c>
      <c r="J22" t="s">
        <v>178</v>
      </c>
      <c r="K22">
        <v>2</v>
      </c>
    </row>
    <row r="23" spans="1:11" x14ac:dyDescent="0.25">
      <c r="A23" t="s">
        <v>184</v>
      </c>
      <c r="B23">
        <v>1</v>
      </c>
      <c r="E23" t="s">
        <v>184</v>
      </c>
      <c r="F23">
        <v>0.8</v>
      </c>
      <c r="J23" t="s">
        <v>184</v>
      </c>
      <c r="K23">
        <v>1</v>
      </c>
    </row>
    <row r="24" spans="1:11" x14ac:dyDescent="0.25">
      <c r="A24" t="s">
        <v>129</v>
      </c>
      <c r="B24">
        <v>1</v>
      </c>
      <c r="E24" t="s">
        <v>129</v>
      </c>
      <c r="F24">
        <v>1</v>
      </c>
      <c r="J24" t="s">
        <v>129</v>
      </c>
      <c r="K24">
        <v>1</v>
      </c>
    </row>
    <row r="25" spans="1:11" x14ac:dyDescent="0.25">
      <c r="A25" t="s">
        <v>304</v>
      </c>
      <c r="E25" t="s">
        <v>173</v>
      </c>
      <c r="F25">
        <v>1</v>
      </c>
      <c r="J25" t="s">
        <v>304</v>
      </c>
      <c r="K25">
        <v>0</v>
      </c>
    </row>
    <row r="26" spans="1:11" x14ac:dyDescent="0.25">
      <c r="A26" t="s">
        <v>304</v>
      </c>
      <c r="E26" t="s">
        <v>304</v>
      </c>
      <c r="J26" t="s">
        <v>304</v>
      </c>
    </row>
    <row r="27" spans="1:11" x14ac:dyDescent="0.25">
      <c r="A27" t="s">
        <v>304</v>
      </c>
      <c r="E27" t="s">
        <v>304</v>
      </c>
      <c r="J27" t="s">
        <v>304</v>
      </c>
    </row>
    <row r="28" spans="1:11" x14ac:dyDescent="0.25">
      <c r="A28" t="s">
        <v>304</v>
      </c>
      <c r="E28" t="s">
        <v>304</v>
      </c>
      <c r="J28" t="s">
        <v>304</v>
      </c>
    </row>
    <row r="29" spans="1:11" x14ac:dyDescent="0.25">
      <c r="A29" t="s">
        <v>304</v>
      </c>
      <c r="E29" t="s">
        <v>304</v>
      </c>
      <c r="J29" t="s">
        <v>304</v>
      </c>
    </row>
    <row r="30" spans="1:11" x14ac:dyDescent="0.25">
      <c r="A30" t="s">
        <v>304</v>
      </c>
      <c r="E30" t="s">
        <v>304</v>
      </c>
      <c r="J30" t="s">
        <v>304</v>
      </c>
    </row>
    <row r="31" spans="1:11" x14ac:dyDescent="0.25">
      <c r="A31" t="s">
        <v>304</v>
      </c>
      <c r="E31" t="s">
        <v>304</v>
      </c>
      <c r="J31" t="s">
        <v>304</v>
      </c>
    </row>
    <row r="32" spans="1:11" x14ac:dyDescent="0.25">
      <c r="A32" t="s">
        <v>304</v>
      </c>
      <c r="E32" t="s">
        <v>304</v>
      </c>
      <c r="J32" t="s">
        <v>304</v>
      </c>
    </row>
    <row r="33" spans="1:10" x14ac:dyDescent="0.25">
      <c r="A33" t="s">
        <v>304</v>
      </c>
      <c r="E33" t="s">
        <v>304</v>
      </c>
      <c r="J33" t="s">
        <v>304</v>
      </c>
    </row>
    <row r="34" spans="1:10" x14ac:dyDescent="0.25">
      <c r="A34" t="s">
        <v>304</v>
      </c>
      <c r="E34" t="s">
        <v>304</v>
      </c>
      <c r="J34" t="s">
        <v>304</v>
      </c>
    </row>
    <row r="36" spans="1:10" x14ac:dyDescent="0.25">
      <c r="A36" t="s">
        <v>8</v>
      </c>
      <c r="D36" t="s">
        <v>8</v>
      </c>
    </row>
    <row r="37" spans="1:10" x14ac:dyDescent="0.25">
      <c r="A37" t="s">
        <v>25</v>
      </c>
      <c r="D37" t="s">
        <v>24</v>
      </c>
    </row>
    <row r="38" spans="1:10" x14ac:dyDescent="0.25">
      <c r="A38" t="s">
        <v>201</v>
      </c>
      <c r="B38">
        <v>4</v>
      </c>
      <c r="D38" t="s">
        <v>75</v>
      </c>
      <c r="E38">
        <v>3</v>
      </c>
    </row>
    <row r="39" spans="1:10" x14ac:dyDescent="0.25">
      <c r="A39" t="s">
        <v>190</v>
      </c>
      <c r="B39">
        <v>1</v>
      </c>
      <c r="D39" t="s">
        <v>320</v>
      </c>
      <c r="E39">
        <v>0.5</v>
      </c>
    </row>
    <row r="40" spans="1:10" x14ac:dyDescent="0.25">
      <c r="A40" t="s">
        <v>203</v>
      </c>
      <c r="B40">
        <v>1</v>
      </c>
      <c r="D40" t="s">
        <v>76</v>
      </c>
      <c r="E40">
        <v>0.5</v>
      </c>
    </row>
    <row r="41" spans="1:10" x14ac:dyDescent="0.25">
      <c r="A41" t="s">
        <v>319</v>
      </c>
      <c r="B41">
        <v>0.5</v>
      </c>
      <c r="D41" t="s">
        <v>341</v>
      </c>
      <c r="E41">
        <v>1</v>
      </c>
    </row>
    <row r="42" spans="1:10" x14ac:dyDescent="0.25">
      <c r="A42" t="s">
        <v>354</v>
      </c>
      <c r="B42">
        <v>1</v>
      </c>
      <c r="D42" t="s">
        <v>236</v>
      </c>
      <c r="E42">
        <v>1</v>
      </c>
    </row>
    <row r="43" spans="1:10" x14ac:dyDescent="0.25">
      <c r="A43" t="s">
        <v>204</v>
      </c>
      <c r="B43">
        <v>0.5</v>
      </c>
      <c r="D43" t="s">
        <v>244</v>
      </c>
      <c r="E43">
        <v>1</v>
      </c>
    </row>
    <row r="44" spans="1:10" x14ac:dyDescent="0.25">
      <c r="A44" t="s">
        <v>129</v>
      </c>
      <c r="B44">
        <v>1</v>
      </c>
      <c r="D44" t="s">
        <v>235</v>
      </c>
      <c r="E44">
        <v>1</v>
      </c>
    </row>
    <row r="45" spans="1:10" x14ac:dyDescent="0.25">
      <c r="A45" t="s">
        <v>198</v>
      </c>
      <c r="B45">
        <v>1</v>
      </c>
      <c r="D45" t="s">
        <v>209</v>
      </c>
      <c r="E45">
        <v>0.5</v>
      </c>
    </row>
    <row r="46" spans="1:10" x14ac:dyDescent="0.25">
      <c r="A46" t="s">
        <v>304</v>
      </c>
    </row>
    <row r="47" spans="1:10" x14ac:dyDescent="0.25">
      <c r="A47" t="s">
        <v>304</v>
      </c>
    </row>
    <row r="50" spans="1:5" x14ac:dyDescent="0.25">
      <c r="A50" t="s">
        <v>16</v>
      </c>
    </row>
    <row r="51" spans="1:5" x14ac:dyDescent="0.25">
      <c r="A51" t="s">
        <v>25</v>
      </c>
      <c r="D51" t="s">
        <v>24</v>
      </c>
    </row>
    <row r="52" spans="1:5" x14ac:dyDescent="0.25">
      <c r="A52" t="s">
        <v>215</v>
      </c>
      <c r="B52">
        <v>4</v>
      </c>
      <c r="D52" t="s">
        <v>216</v>
      </c>
      <c r="E52">
        <v>3</v>
      </c>
    </row>
    <row r="53" spans="1:5" x14ac:dyDescent="0.25">
      <c r="A53" t="s">
        <v>129</v>
      </c>
      <c r="B53">
        <v>1</v>
      </c>
      <c r="D53" t="s">
        <v>321</v>
      </c>
      <c r="E53">
        <v>2</v>
      </c>
    </row>
    <row r="54" spans="1:5" x14ac:dyDescent="0.25">
      <c r="A54" t="s">
        <v>210</v>
      </c>
      <c r="B54">
        <v>1</v>
      </c>
      <c r="D54" t="s">
        <v>130</v>
      </c>
      <c r="E54">
        <v>1</v>
      </c>
    </row>
    <row r="55" spans="1:5" x14ac:dyDescent="0.25">
      <c r="A55" t="s">
        <v>223</v>
      </c>
      <c r="B55">
        <v>1</v>
      </c>
      <c r="D55" t="s">
        <v>341</v>
      </c>
      <c r="E55">
        <v>1</v>
      </c>
    </row>
    <row r="56" spans="1:5" x14ac:dyDescent="0.25">
      <c r="A56" t="s">
        <v>209</v>
      </c>
      <c r="B56">
        <v>0.5</v>
      </c>
      <c r="D56" t="s">
        <v>236</v>
      </c>
      <c r="E56">
        <v>1</v>
      </c>
    </row>
    <row r="57" spans="1:5" x14ac:dyDescent="0.25">
      <c r="A57" t="s">
        <v>218</v>
      </c>
      <c r="B57">
        <v>1</v>
      </c>
      <c r="D57" t="s">
        <v>244</v>
      </c>
      <c r="E57">
        <v>1</v>
      </c>
    </row>
    <row r="58" spans="1:5" x14ac:dyDescent="0.25">
      <c r="A58" t="s">
        <v>304</v>
      </c>
      <c r="D58" t="s">
        <v>235</v>
      </c>
      <c r="E58">
        <v>1</v>
      </c>
    </row>
    <row r="59" spans="1:5" x14ac:dyDescent="0.25">
      <c r="A59" t="s">
        <v>304</v>
      </c>
      <c r="D59" t="s">
        <v>209</v>
      </c>
      <c r="E59">
        <v>0.5</v>
      </c>
    </row>
    <row r="60" spans="1:5" x14ac:dyDescent="0.25">
      <c r="A60" t="s">
        <v>304</v>
      </c>
    </row>
    <row r="61" spans="1:5" x14ac:dyDescent="0.25">
      <c r="A61" t="s">
        <v>304</v>
      </c>
    </row>
    <row r="62" spans="1:5" x14ac:dyDescent="0.25">
      <c r="A62" t="s">
        <v>304</v>
      </c>
    </row>
    <row r="63" spans="1:5" x14ac:dyDescent="0.25">
      <c r="A63" t="s">
        <v>304</v>
      </c>
    </row>
    <row r="64" spans="1:5" x14ac:dyDescent="0.25">
      <c r="A64" t="s">
        <v>304</v>
      </c>
    </row>
    <row r="65" spans="1:8" x14ac:dyDescent="0.25">
      <c r="A65" t="s">
        <v>304</v>
      </c>
    </row>
    <row r="66" spans="1:8" x14ac:dyDescent="0.25">
      <c r="A66" t="s">
        <v>304</v>
      </c>
    </row>
    <row r="79" spans="1:8" x14ac:dyDescent="0.25">
      <c r="A79" t="s">
        <v>14</v>
      </c>
    </row>
    <row r="80" spans="1:8" x14ac:dyDescent="0.25">
      <c r="A80" t="s">
        <v>25</v>
      </c>
      <c r="E80" t="s">
        <v>24</v>
      </c>
      <c r="H80" t="s">
        <v>25</v>
      </c>
    </row>
    <row r="81" spans="1:9" x14ac:dyDescent="0.25">
      <c r="A81" t="s">
        <v>155</v>
      </c>
      <c r="B81">
        <v>1</v>
      </c>
      <c r="E81" t="s">
        <v>245</v>
      </c>
      <c r="F81">
        <v>4</v>
      </c>
      <c r="H81" t="s">
        <v>153</v>
      </c>
      <c r="I81">
        <v>9</v>
      </c>
    </row>
    <row r="82" spans="1:9" x14ac:dyDescent="0.25">
      <c r="A82" t="s">
        <v>157</v>
      </c>
      <c r="B82">
        <v>1</v>
      </c>
      <c r="E82" t="s">
        <v>156</v>
      </c>
      <c r="F82">
        <v>1</v>
      </c>
      <c r="H82" t="s">
        <v>160</v>
      </c>
      <c r="I82">
        <v>1</v>
      </c>
    </row>
    <row r="83" spans="1:9" x14ac:dyDescent="0.25">
      <c r="A83" t="s">
        <v>172</v>
      </c>
      <c r="B83">
        <v>0.5</v>
      </c>
      <c r="E83" t="s">
        <v>154</v>
      </c>
      <c r="F83">
        <v>1</v>
      </c>
      <c r="H83" t="s">
        <v>157</v>
      </c>
      <c r="I83">
        <v>2</v>
      </c>
    </row>
    <row r="84" spans="1:9" x14ac:dyDescent="0.25">
      <c r="A84" t="s">
        <v>168</v>
      </c>
      <c r="B84">
        <v>0.25</v>
      </c>
      <c r="E84" t="s">
        <v>341</v>
      </c>
      <c r="F84">
        <v>1</v>
      </c>
      <c r="H84" t="s">
        <v>155</v>
      </c>
      <c r="I84">
        <v>2</v>
      </c>
    </row>
    <row r="85" spans="1:9" x14ac:dyDescent="0.25">
      <c r="A85" t="s">
        <v>129</v>
      </c>
      <c r="B85">
        <v>1</v>
      </c>
      <c r="E85" t="s">
        <v>160</v>
      </c>
      <c r="F85">
        <v>0.5</v>
      </c>
      <c r="H85" t="s">
        <v>129</v>
      </c>
      <c r="I85">
        <v>2</v>
      </c>
    </row>
    <row r="86" spans="1:9" x14ac:dyDescent="0.25">
      <c r="A86" t="s">
        <v>305</v>
      </c>
      <c r="B86">
        <v>2</v>
      </c>
      <c r="E86" t="s">
        <v>244</v>
      </c>
      <c r="F86">
        <v>1</v>
      </c>
      <c r="H86" t="s">
        <v>172</v>
      </c>
      <c r="I86">
        <v>1</v>
      </c>
    </row>
    <row r="87" spans="1:9" x14ac:dyDescent="0.25">
      <c r="A87" t="s">
        <v>78</v>
      </c>
      <c r="B87">
        <v>1</v>
      </c>
      <c r="E87" t="s">
        <v>235</v>
      </c>
      <c r="F87">
        <v>1</v>
      </c>
      <c r="H87" t="s">
        <v>209</v>
      </c>
      <c r="I87">
        <v>1</v>
      </c>
    </row>
    <row r="88" spans="1:9" x14ac:dyDescent="0.25">
      <c r="A88" t="s">
        <v>160</v>
      </c>
      <c r="B88">
        <v>0.5</v>
      </c>
      <c r="E88" t="s">
        <v>209</v>
      </c>
      <c r="F88">
        <v>0.5</v>
      </c>
      <c r="H88" t="s">
        <v>304</v>
      </c>
    </row>
    <row r="89" spans="1:9" x14ac:dyDescent="0.25">
      <c r="A89" t="s">
        <v>304</v>
      </c>
      <c r="H89" t="s">
        <v>304</v>
      </c>
    </row>
    <row r="90" spans="1:9" x14ac:dyDescent="0.25">
      <c r="A90" t="s">
        <v>304</v>
      </c>
      <c r="H90" t="s">
        <v>304</v>
      </c>
    </row>
    <row r="91" spans="1:9" x14ac:dyDescent="0.25">
      <c r="A91" t="s">
        <v>304</v>
      </c>
      <c r="H91" t="s">
        <v>304</v>
      </c>
    </row>
    <row r="92" spans="1:9" x14ac:dyDescent="0.25">
      <c r="A92" t="s">
        <v>304</v>
      </c>
      <c r="H92" t="s">
        <v>304</v>
      </c>
    </row>
    <row r="93" spans="1:9" x14ac:dyDescent="0.25">
      <c r="A93" t="s">
        <v>304</v>
      </c>
      <c r="H93" t="s">
        <v>304</v>
      </c>
    </row>
    <row r="94" spans="1:9" x14ac:dyDescent="0.25">
      <c r="A94" t="s">
        <v>304</v>
      </c>
      <c r="H94" t="s">
        <v>304</v>
      </c>
    </row>
    <row r="95" spans="1:9" x14ac:dyDescent="0.25">
      <c r="A95" t="s">
        <v>304</v>
      </c>
      <c r="H95" t="s">
        <v>304</v>
      </c>
    </row>
    <row r="96" spans="1:9" x14ac:dyDescent="0.25">
      <c r="H96" t="s">
        <v>304</v>
      </c>
    </row>
    <row r="97" spans="1:8" x14ac:dyDescent="0.25">
      <c r="A97" t="s">
        <v>13</v>
      </c>
      <c r="H97" t="s">
        <v>304</v>
      </c>
    </row>
    <row r="98" spans="1:8" x14ac:dyDescent="0.25">
      <c r="A98" t="s">
        <v>25</v>
      </c>
      <c r="D98" t="s">
        <v>24</v>
      </c>
      <c r="H98" t="s">
        <v>304</v>
      </c>
    </row>
    <row r="99" spans="1:8" x14ac:dyDescent="0.25">
      <c r="A99" t="s">
        <v>264</v>
      </c>
      <c r="B99">
        <v>2</v>
      </c>
      <c r="D99" t="s">
        <v>265</v>
      </c>
      <c r="E99">
        <v>2</v>
      </c>
    </row>
    <row r="100" spans="1:8" x14ac:dyDescent="0.25">
      <c r="A100" t="s">
        <v>263</v>
      </c>
      <c r="B100">
        <v>3</v>
      </c>
      <c r="D100" t="s">
        <v>93</v>
      </c>
      <c r="E100">
        <v>0.5</v>
      </c>
    </row>
    <row r="101" spans="1:8" x14ac:dyDescent="0.25">
      <c r="A101" t="s">
        <v>259</v>
      </c>
      <c r="B101">
        <v>1</v>
      </c>
      <c r="D101" t="s">
        <v>271</v>
      </c>
      <c r="E101">
        <v>0.5</v>
      </c>
    </row>
    <row r="102" spans="1:8" x14ac:dyDescent="0.25">
      <c r="A102" t="s">
        <v>266</v>
      </c>
      <c r="B102">
        <v>2</v>
      </c>
      <c r="D102" t="s">
        <v>341</v>
      </c>
      <c r="E102">
        <v>1</v>
      </c>
    </row>
    <row r="103" spans="1:8" x14ac:dyDescent="0.25">
      <c r="A103" t="s">
        <v>129</v>
      </c>
      <c r="B103">
        <v>1</v>
      </c>
      <c r="D103" t="s">
        <v>236</v>
      </c>
      <c r="E103">
        <v>1</v>
      </c>
    </row>
    <row r="104" spans="1:8" x14ac:dyDescent="0.25">
      <c r="A104" t="s">
        <v>267</v>
      </c>
      <c r="B104">
        <v>0.5</v>
      </c>
      <c r="D104" t="s">
        <v>244</v>
      </c>
      <c r="E104">
        <v>1</v>
      </c>
    </row>
    <row r="105" spans="1:8" x14ac:dyDescent="0.25">
      <c r="A105" t="s">
        <v>271</v>
      </c>
      <c r="B105">
        <v>0.5</v>
      </c>
      <c r="D105" t="s">
        <v>235</v>
      </c>
      <c r="E105">
        <v>1</v>
      </c>
    </row>
    <row r="106" spans="1:8" x14ac:dyDescent="0.25">
      <c r="D106" t="s">
        <v>209</v>
      </c>
      <c r="E106">
        <v>0.5</v>
      </c>
    </row>
    <row r="107" spans="1:8" x14ac:dyDescent="0.25">
      <c r="D107" t="s">
        <v>340</v>
      </c>
      <c r="E107">
        <v>2</v>
      </c>
    </row>
  </sheetData>
  <pageMargins left="0" right="0" top="0" bottom="0" header="0" footer="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325"/>
  <sheetViews>
    <sheetView zoomScale="80" zoomScaleNormal="80" workbookViewId="0">
      <selection activeCell="L204" sqref="H204:L217"/>
    </sheetView>
  </sheetViews>
  <sheetFormatPr baseColWidth="10" defaultColWidth="10.7109375" defaultRowHeight="15" x14ac:dyDescent="0.25"/>
  <cols>
    <col min="1" max="1" width="30.5703125" bestFit="1" customWidth="1"/>
    <col min="2" max="2" width="10.85546875" bestFit="1" customWidth="1"/>
    <col min="3" max="3" width="18.85546875" bestFit="1" customWidth="1"/>
    <col min="4" max="4" width="20.7109375" bestFit="1" customWidth="1"/>
    <col min="5" max="5" width="25.140625" bestFit="1" customWidth="1"/>
    <col min="6" max="6" width="33.5703125" bestFit="1" customWidth="1"/>
    <col min="7" max="7" width="44.140625" bestFit="1" customWidth="1"/>
  </cols>
  <sheetData>
    <row r="1" spans="1:7" x14ac:dyDescent="0.25">
      <c r="A1" s="42" t="s">
        <v>362</v>
      </c>
      <c r="B1" s="40" t="s">
        <v>135</v>
      </c>
      <c r="C1" s="41" t="s">
        <v>0</v>
      </c>
      <c r="D1" s="41" t="s">
        <v>1</v>
      </c>
      <c r="E1" s="40" t="s">
        <v>89</v>
      </c>
      <c r="F1" s="49" t="s">
        <v>360</v>
      </c>
      <c r="G1" s="41" t="s">
        <v>361</v>
      </c>
    </row>
    <row r="2" spans="1:7" x14ac:dyDescent="0.25">
      <c r="A2">
        <f>-100</f>
        <v>-100</v>
      </c>
      <c r="B2">
        <v>0.85</v>
      </c>
      <c r="C2">
        <v>0.03</v>
      </c>
      <c r="D2">
        <v>0</v>
      </c>
      <c r="E2">
        <f>(A2*B2+D2)*(1-C2)</f>
        <v>-82.45</v>
      </c>
      <c r="F2">
        <f>-(A2*B2-E2)</f>
        <v>2.5499999999999972</v>
      </c>
      <c r="G2">
        <f t="shared" ref="G2:G30" si="0">F2*2/0.09</f>
        <v>56.666666666666607</v>
      </c>
    </row>
    <row r="3" spans="1:7" x14ac:dyDescent="0.25">
      <c r="A3">
        <f>A2-10</f>
        <v>-110</v>
      </c>
      <c r="B3">
        <v>0.85</v>
      </c>
      <c r="C3">
        <v>0.03</v>
      </c>
      <c r="D3">
        <v>0</v>
      </c>
      <c r="E3">
        <f t="shared" ref="E3:E66" si="1">(A3*B3+D3)*(1-C3)</f>
        <v>-90.694999999999993</v>
      </c>
      <c r="F3">
        <f t="shared" ref="F3:F66" si="2">-(A3*B3-E3)</f>
        <v>2.8050000000000068</v>
      </c>
      <c r="G3">
        <f t="shared" si="0"/>
        <v>62.333333333333485</v>
      </c>
    </row>
    <row r="4" spans="1:7" x14ac:dyDescent="0.25">
      <c r="A4">
        <f t="shared" ref="A4:A67" si="3">A3-10</f>
        <v>-120</v>
      </c>
      <c r="B4">
        <v>0.85</v>
      </c>
      <c r="C4">
        <v>0.03</v>
      </c>
      <c r="D4">
        <v>0</v>
      </c>
      <c r="E4">
        <f t="shared" si="1"/>
        <v>-98.94</v>
      </c>
      <c r="F4">
        <f t="shared" si="2"/>
        <v>3.0600000000000023</v>
      </c>
      <c r="G4">
        <f t="shared" si="0"/>
        <v>68.000000000000057</v>
      </c>
    </row>
    <row r="5" spans="1:7" x14ac:dyDescent="0.25">
      <c r="A5">
        <f t="shared" si="3"/>
        <v>-130</v>
      </c>
      <c r="B5">
        <v>0.85</v>
      </c>
      <c r="C5">
        <v>0.03</v>
      </c>
      <c r="D5">
        <v>0</v>
      </c>
      <c r="E5">
        <f t="shared" si="1"/>
        <v>-107.185</v>
      </c>
      <c r="F5">
        <f t="shared" si="2"/>
        <v>3.3149999999999977</v>
      </c>
      <c r="G5">
        <f t="shared" si="0"/>
        <v>73.666666666666615</v>
      </c>
    </row>
    <row r="6" spans="1:7" x14ac:dyDescent="0.25">
      <c r="A6">
        <f t="shared" si="3"/>
        <v>-140</v>
      </c>
      <c r="B6">
        <v>0.85</v>
      </c>
      <c r="C6">
        <v>0.03</v>
      </c>
      <c r="D6">
        <v>0</v>
      </c>
      <c r="E6">
        <f t="shared" si="1"/>
        <v>-115.42999999999999</v>
      </c>
      <c r="F6">
        <f t="shared" si="2"/>
        <v>3.5700000000000074</v>
      </c>
      <c r="G6">
        <f t="shared" si="0"/>
        <v>79.333333333333499</v>
      </c>
    </row>
    <row r="7" spans="1:7" x14ac:dyDescent="0.25">
      <c r="A7">
        <f t="shared" si="3"/>
        <v>-150</v>
      </c>
      <c r="B7">
        <v>0.85</v>
      </c>
      <c r="C7">
        <v>0.03</v>
      </c>
      <c r="D7">
        <v>0</v>
      </c>
      <c r="E7">
        <f t="shared" si="1"/>
        <v>-123.675</v>
      </c>
      <c r="F7">
        <f t="shared" si="2"/>
        <v>3.8250000000000028</v>
      </c>
      <c r="G7">
        <f t="shared" si="0"/>
        <v>85.000000000000071</v>
      </c>
    </row>
    <row r="8" spans="1:7" x14ac:dyDescent="0.25">
      <c r="A8">
        <f t="shared" si="3"/>
        <v>-160</v>
      </c>
      <c r="B8">
        <v>0.85</v>
      </c>
      <c r="C8">
        <v>0.03</v>
      </c>
      <c r="D8">
        <v>0</v>
      </c>
      <c r="E8">
        <f t="shared" si="1"/>
        <v>-131.91999999999999</v>
      </c>
      <c r="F8">
        <f t="shared" si="2"/>
        <v>4.0800000000000125</v>
      </c>
      <c r="G8">
        <f t="shared" si="0"/>
        <v>90.666666666666941</v>
      </c>
    </row>
    <row r="9" spans="1:7" x14ac:dyDescent="0.25">
      <c r="A9">
        <f t="shared" si="3"/>
        <v>-170</v>
      </c>
      <c r="B9">
        <v>0.85</v>
      </c>
      <c r="C9">
        <v>0.03</v>
      </c>
      <c r="D9">
        <v>0</v>
      </c>
      <c r="E9">
        <f t="shared" si="1"/>
        <v>-140.16499999999999</v>
      </c>
      <c r="F9">
        <f t="shared" si="2"/>
        <v>4.335000000000008</v>
      </c>
      <c r="G9">
        <f t="shared" si="0"/>
        <v>96.333333333333513</v>
      </c>
    </row>
    <row r="10" spans="1:7" x14ac:dyDescent="0.25">
      <c r="A10">
        <f t="shared" si="3"/>
        <v>-180</v>
      </c>
      <c r="B10">
        <v>0.85</v>
      </c>
      <c r="C10">
        <v>0.03</v>
      </c>
      <c r="D10">
        <v>0</v>
      </c>
      <c r="E10">
        <f t="shared" si="1"/>
        <v>-148.41</v>
      </c>
      <c r="F10">
        <f t="shared" si="2"/>
        <v>4.5900000000000034</v>
      </c>
      <c r="G10">
        <f t="shared" si="0"/>
        <v>102.00000000000009</v>
      </c>
    </row>
    <row r="11" spans="1:7" x14ac:dyDescent="0.25">
      <c r="A11">
        <f t="shared" si="3"/>
        <v>-190</v>
      </c>
      <c r="B11">
        <v>0.85</v>
      </c>
      <c r="C11">
        <v>0.03</v>
      </c>
      <c r="D11">
        <v>0</v>
      </c>
      <c r="E11">
        <f t="shared" si="1"/>
        <v>-156.655</v>
      </c>
      <c r="F11">
        <f t="shared" si="2"/>
        <v>4.8449999999999989</v>
      </c>
      <c r="G11">
        <f t="shared" si="0"/>
        <v>107.66666666666664</v>
      </c>
    </row>
    <row r="12" spans="1:7" x14ac:dyDescent="0.25">
      <c r="A12">
        <f t="shared" si="3"/>
        <v>-200</v>
      </c>
      <c r="B12">
        <v>0.85</v>
      </c>
      <c r="C12">
        <v>0.03</v>
      </c>
      <c r="D12">
        <v>0</v>
      </c>
      <c r="E12">
        <f t="shared" si="1"/>
        <v>-164.9</v>
      </c>
      <c r="F12">
        <f t="shared" si="2"/>
        <v>5.0999999999999943</v>
      </c>
      <c r="G12">
        <f t="shared" si="0"/>
        <v>113.33333333333321</v>
      </c>
    </row>
    <row r="13" spans="1:7" x14ac:dyDescent="0.25">
      <c r="A13">
        <f t="shared" si="3"/>
        <v>-210</v>
      </c>
      <c r="B13">
        <v>0.85</v>
      </c>
      <c r="C13">
        <v>0.03</v>
      </c>
      <c r="D13">
        <v>0</v>
      </c>
      <c r="E13">
        <f t="shared" si="1"/>
        <v>-173.14499999999998</v>
      </c>
      <c r="F13">
        <f t="shared" si="2"/>
        <v>5.3550000000000182</v>
      </c>
      <c r="G13">
        <f t="shared" si="0"/>
        <v>119.00000000000041</v>
      </c>
    </row>
    <row r="14" spans="1:7" x14ac:dyDescent="0.25">
      <c r="A14">
        <f t="shared" si="3"/>
        <v>-220</v>
      </c>
      <c r="B14">
        <v>0.85</v>
      </c>
      <c r="C14">
        <v>0.03</v>
      </c>
      <c r="D14">
        <v>0</v>
      </c>
      <c r="E14">
        <f t="shared" si="1"/>
        <v>-181.39</v>
      </c>
      <c r="F14">
        <f t="shared" si="2"/>
        <v>5.6100000000000136</v>
      </c>
      <c r="G14">
        <f t="shared" si="0"/>
        <v>124.66666666666697</v>
      </c>
    </row>
    <row r="15" spans="1:7" x14ac:dyDescent="0.25">
      <c r="A15">
        <f t="shared" si="3"/>
        <v>-230</v>
      </c>
      <c r="B15">
        <v>0.85</v>
      </c>
      <c r="C15">
        <v>0.03</v>
      </c>
      <c r="D15">
        <v>0</v>
      </c>
      <c r="E15">
        <f t="shared" si="1"/>
        <v>-189.63499999999999</v>
      </c>
      <c r="F15">
        <f t="shared" si="2"/>
        <v>5.8650000000000091</v>
      </c>
      <c r="G15">
        <f t="shared" si="0"/>
        <v>130.33333333333354</v>
      </c>
    </row>
    <row r="16" spans="1:7" x14ac:dyDescent="0.25">
      <c r="A16">
        <f t="shared" si="3"/>
        <v>-240</v>
      </c>
      <c r="B16">
        <v>0.85</v>
      </c>
      <c r="C16">
        <v>0.03</v>
      </c>
      <c r="D16">
        <v>0</v>
      </c>
      <c r="E16">
        <f t="shared" si="1"/>
        <v>-197.88</v>
      </c>
      <c r="F16">
        <f t="shared" si="2"/>
        <v>6.1200000000000045</v>
      </c>
      <c r="G16">
        <f t="shared" si="0"/>
        <v>136.00000000000011</v>
      </c>
    </row>
    <row r="17" spans="1:7" x14ac:dyDescent="0.25">
      <c r="A17">
        <f t="shared" si="3"/>
        <v>-250</v>
      </c>
      <c r="B17">
        <v>0.85</v>
      </c>
      <c r="C17">
        <v>0.03</v>
      </c>
      <c r="D17">
        <v>0</v>
      </c>
      <c r="E17">
        <f t="shared" si="1"/>
        <v>-206.125</v>
      </c>
      <c r="F17">
        <f t="shared" si="2"/>
        <v>6.375</v>
      </c>
      <c r="G17">
        <f t="shared" si="0"/>
        <v>141.66666666666669</v>
      </c>
    </row>
    <row r="18" spans="1:7" x14ac:dyDescent="0.25">
      <c r="A18">
        <f t="shared" si="3"/>
        <v>-260</v>
      </c>
      <c r="B18">
        <v>0.85</v>
      </c>
      <c r="C18">
        <v>0.03</v>
      </c>
      <c r="D18">
        <v>0</v>
      </c>
      <c r="E18">
        <f t="shared" si="1"/>
        <v>-214.37</v>
      </c>
      <c r="F18">
        <f t="shared" si="2"/>
        <v>6.6299999999999955</v>
      </c>
      <c r="G18">
        <f t="shared" si="0"/>
        <v>147.33333333333323</v>
      </c>
    </row>
    <row r="19" spans="1:7" x14ac:dyDescent="0.25">
      <c r="A19">
        <f t="shared" si="3"/>
        <v>-270</v>
      </c>
      <c r="B19">
        <v>0.85</v>
      </c>
      <c r="C19">
        <v>0.03</v>
      </c>
      <c r="D19">
        <v>0</v>
      </c>
      <c r="E19">
        <f t="shared" si="1"/>
        <v>-222.61499999999998</v>
      </c>
      <c r="F19">
        <f t="shared" si="2"/>
        <v>6.8850000000000193</v>
      </c>
      <c r="G19">
        <f t="shared" si="0"/>
        <v>153.00000000000043</v>
      </c>
    </row>
    <row r="20" spans="1:7" x14ac:dyDescent="0.25">
      <c r="A20">
        <f t="shared" si="3"/>
        <v>-280</v>
      </c>
      <c r="B20">
        <v>0.85</v>
      </c>
      <c r="C20">
        <v>0.03</v>
      </c>
      <c r="D20">
        <v>0</v>
      </c>
      <c r="E20">
        <f t="shared" si="1"/>
        <v>-230.85999999999999</v>
      </c>
      <c r="F20">
        <f t="shared" si="2"/>
        <v>7.1400000000000148</v>
      </c>
      <c r="G20">
        <f t="shared" si="0"/>
        <v>158.666666666667</v>
      </c>
    </row>
    <row r="21" spans="1:7" x14ac:dyDescent="0.25">
      <c r="A21">
        <f t="shared" si="3"/>
        <v>-290</v>
      </c>
      <c r="B21">
        <v>0.85</v>
      </c>
      <c r="C21">
        <v>0.03</v>
      </c>
      <c r="D21">
        <v>0</v>
      </c>
      <c r="E21">
        <f t="shared" si="1"/>
        <v>-239.10499999999999</v>
      </c>
      <c r="F21">
        <f t="shared" si="2"/>
        <v>7.3950000000000102</v>
      </c>
      <c r="G21">
        <f t="shared" si="0"/>
        <v>164.33333333333357</v>
      </c>
    </row>
    <row r="22" spans="1:7" x14ac:dyDescent="0.25">
      <c r="A22">
        <f t="shared" si="3"/>
        <v>-300</v>
      </c>
      <c r="B22">
        <v>0.85</v>
      </c>
      <c r="C22">
        <v>0.03</v>
      </c>
      <c r="D22">
        <v>0</v>
      </c>
      <c r="E22">
        <f t="shared" si="1"/>
        <v>-247.35</v>
      </c>
      <c r="F22">
        <f t="shared" si="2"/>
        <v>7.6500000000000057</v>
      </c>
      <c r="G22">
        <f t="shared" si="0"/>
        <v>170.00000000000014</v>
      </c>
    </row>
    <row r="23" spans="1:7" x14ac:dyDescent="0.25">
      <c r="A23">
        <f t="shared" si="3"/>
        <v>-310</v>
      </c>
      <c r="B23">
        <v>0.85</v>
      </c>
      <c r="C23">
        <v>0.03</v>
      </c>
      <c r="D23">
        <v>0</v>
      </c>
      <c r="E23">
        <f t="shared" si="1"/>
        <v>-255.595</v>
      </c>
      <c r="F23">
        <f t="shared" si="2"/>
        <v>7.9050000000000011</v>
      </c>
      <c r="G23">
        <f t="shared" si="0"/>
        <v>175.66666666666669</v>
      </c>
    </row>
    <row r="24" spans="1:7" x14ac:dyDescent="0.25">
      <c r="A24">
        <f t="shared" si="3"/>
        <v>-320</v>
      </c>
      <c r="B24">
        <v>0.85</v>
      </c>
      <c r="C24">
        <v>0.03</v>
      </c>
      <c r="D24">
        <v>0</v>
      </c>
      <c r="E24">
        <f t="shared" si="1"/>
        <v>-263.83999999999997</v>
      </c>
      <c r="F24">
        <f t="shared" si="2"/>
        <v>8.160000000000025</v>
      </c>
      <c r="G24">
        <f t="shared" si="0"/>
        <v>181.33333333333388</v>
      </c>
    </row>
    <row r="25" spans="1:7" x14ac:dyDescent="0.25">
      <c r="A25">
        <f t="shared" si="3"/>
        <v>-330</v>
      </c>
      <c r="B25">
        <v>0.85</v>
      </c>
      <c r="C25">
        <v>0.03</v>
      </c>
      <c r="D25">
        <v>0</v>
      </c>
      <c r="E25">
        <f t="shared" si="1"/>
        <v>-272.08499999999998</v>
      </c>
      <c r="F25">
        <f t="shared" si="2"/>
        <v>8.4150000000000205</v>
      </c>
      <c r="G25">
        <f t="shared" si="0"/>
        <v>187.00000000000045</v>
      </c>
    </row>
    <row r="26" spans="1:7" x14ac:dyDescent="0.25">
      <c r="A26">
        <f t="shared" si="3"/>
        <v>-340</v>
      </c>
      <c r="B26">
        <v>0.85</v>
      </c>
      <c r="C26">
        <v>0.03</v>
      </c>
      <c r="D26">
        <v>0</v>
      </c>
      <c r="E26">
        <f t="shared" si="1"/>
        <v>-280.33</v>
      </c>
      <c r="F26">
        <f t="shared" si="2"/>
        <v>8.6700000000000159</v>
      </c>
      <c r="G26">
        <f t="shared" si="0"/>
        <v>192.66666666666703</v>
      </c>
    </row>
    <row r="27" spans="1:7" x14ac:dyDescent="0.25">
      <c r="A27">
        <f t="shared" si="3"/>
        <v>-350</v>
      </c>
      <c r="B27">
        <v>0.85</v>
      </c>
      <c r="C27">
        <v>0.03</v>
      </c>
      <c r="D27">
        <v>0</v>
      </c>
      <c r="E27">
        <f t="shared" si="1"/>
        <v>-288.57499999999999</v>
      </c>
      <c r="F27">
        <f t="shared" si="2"/>
        <v>8.9250000000000114</v>
      </c>
      <c r="G27">
        <f t="shared" si="0"/>
        <v>198.3333333333336</v>
      </c>
    </row>
    <row r="28" spans="1:7" x14ac:dyDescent="0.25">
      <c r="A28">
        <f t="shared" si="3"/>
        <v>-360</v>
      </c>
      <c r="B28">
        <v>0.85</v>
      </c>
      <c r="C28">
        <v>0.03</v>
      </c>
      <c r="D28">
        <v>0</v>
      </c>
      <c r="E28">
        <f t="shared" si="1"/>
        <v>-296.82</v>
      </c>
      <c r="F28">
        <f t="shared" si="2"/>
        <v>9.1800000000000068</v>
      </c>
      <c r="G28">
        <f t="shared" si="0"/>
        <v>204.00000000000017</v>
      </c>
    </row>
    <row r="29" spans="1:7" x14ac:dyDescent="0.25">
      <c r="A29">
        <f t="shared" si="3"/>
        <v>-370</v>
      </c>
      <c r="B29">
        <v>0.85</v>
      </c>
      <c r="C29">
        <v>0.03</v>
      </c>
      <c r="D29">
        <v>0</v>
      </c>
      <c r="E29">
        <f t="shared" si="1"/>
        <v>-305.065</v>
      </c>
      <c r="F29">
        <f t="shared" si="2"/>
        <v>9.4350000000000023</v>
      </c>
      <c r="G29">
        <f t="shared" si="0"/>
        <v>209.66666666666671</v>
      </c>
    </row>
    <row r="30" spans="1:7" x14ac:dyDescent="0.25">
      <c r="A30">
        <f t="shared" si="3"/>
        <v>-380</v>
      </c>
      <c r="B30">
        <v>0.85</v>
      </c>
      <c r="C30">
        <v>0.03</v>
      </c>
      <c r="D30">
        <v>0</v>
      </c>
      <c r="E30">
        <f t="shared" si="1"/>
        <v>-313.31</v>
      </c>
      <c r="F30">
        <f t="shared" si="2"/>
        <v>9.6899999999999977</v>
      </c>
      <c r="G30">
        <f t="shared" si="0"/>
        <v>215.33333333333329</v>
      </c>
    </row>
    <row r="31" spans="1:7" x14ac:dyDescent="0.25">
      <c r="A31">
        <f t="shared" si="3"/>
        <v>-390</v>
      </c>
      <c r="B31">
        <v>0.85</v>
      </c>
      <c r="C31">
        <v>0.03</v>
      </c>
      <c r="D31">
        <v>0</v>
      </c>
      <c r="E31">
        <f t="shared" si="1"/>
        <v>-321.55500000000001</v>
      </c>
      <c r="F31">
        <f t="shared" si="2"/>
        <v>9.9449999999999932</v>
      </c>
      <c r="G31">
        <f t="shared" ref="G31:G94" si="4">F31*2/0.09</f>
        <v>220.99999999999986</v>
      </c>
    </row>
    <row r="32" spans="1:7" x14ac:dyDescent="0.25">
      <c r="A32">
        <f t="shared" si="3"/>
        <v>-400</v>
      </c>
      <c r="B32">
        <v>0.85</v>
      </c>
      <c r="C32">
        <v>0.03</v>
      </c>
      <c r="D32">
        <v>0</v>
      </c>
      <c r="E32">
        <f t="shared" si="1"/>
        <v>-329.8</v>
      </c>
      <c r="F32">
        <f t="shared" si="2"/>
        <v>10.199999999999989</v>
      </c>
      <c r="G32">
        <f t="shared" si="4"/>
        <v>226.66666666666643</v>
      </c>
    </row>
    <row r="33" spans="1:7" x14ac:dyDescent="0.25">
      <c r="A33">
        <f t="shared" si="3"/>
        <v>-410</v>
      </c>
      <c r="B33">
        <v>0.85</v>
      </c>
      <c r="C33">
        <v>0.03</v>
      </c>
      <c r="D33">
        <v>0</v>
      </c>
      <c r="E33">
        <f t="shared" si="1"/>
        <v>-338.04500000000002</v>
      </c>
      <c r="F33">
        <f t="shared" si="2"/>
        <v>10.454999999999984</v>
      </c>
      <c r="G33">
        <f t="shared" si="4"/>
        <v>232.333333333333</v>
      </c>
    </row>
    <row r="34" spans="1:7" x14ac:dyDescent="0.25">
      <c r="A34">
        <f t="shared" si="3"/>
        <v>-420</v>
      </c>
      <c r="B34">
        <v>0.85</v>
      </c>
      <c r="C34">
        <v>0.03</v>
      </c>
      <c r="D34">
        <v>0</v>
      </c>
      <c r="E34">
        <f t="shared" si="1"/>
        <v>-346.28999999999996</v>
      </c>
      <c r="F34">
        <f t="shared" si="2"/>
        <v>10.710000000000036</v>
      </c>
      <c r="G34">
        <f t="shared" si="4"/>
        <v>238.00000000000082</v>
      </c>
    </row>
    <row r="35" spans="1:7" x14ac:dyDescent="0.25">
      <c r="A35">
        <f t="shared" si="3"/>
        <v>-430</v>
      </c>
      <c r="B35">
        <v>0.85</v>
      </c>
      <c r="C35">
        <v>0.03</v>
      </c>
      <c r="D35">
        <v>0</v>
      </c>
      <c r="E35">
        <f t="shared" si="1"/>
        <v>-354.53499999999997</v>
      </c>
      <c r="F35">
        <f t="shared" si="2"/>
        <v>10.965000000000032</v>
      </c>
      <c r="G35">
        <f t="shared" si="4"/>
        <v>243.6666666666674</v>
      </c>
    </row>
    <row r="36" spans="1:7" x14ac:dyDescent="0.25">
      <c r="A36">
        <f t="shared" si="3"/>
        <v>-440</v>
      </c>
      <c r="B36">
        <v>0.85</v>
      </c>
      <c r="C36">
        <v>0.03</v>
      </c>
      <c r="D36">
        <v>0</v>
      </c>
      <c r="E36">
        <f t="shared" si="1"/>
        <v>-362.78</v>
      </c>
      <c r="F36">
        <f t="shared" si="2"/>
        <v>11.220000000000027</v>
      </c>
      <c r="G36">
        <f t="shared" si="4"/>
        <v>249.33333333333394</v>
      </c>
    </row>
    <row r="37" spans="1:7" x14ac:dyDescent="0.25">
      <c r="A37">
        <f t="shared" si="3"/>
        <v>-450</v>
      </c>
      <c r="B37">
        <v>0.85</v>
      </c>
      <c r="C37">
        <v>0.03</v>
      </c>
      <c r="D37">
        <v>0</v>
      </c>
      <c r="E37">
        <f t="shared" si="1"/>
        <v>-371.02499999999998</v>
      </c>
      <c r="F37">
        <f t="shared" si="2"/>
        <v>11.475000000000023</v>
      </c>
      <c r="G37">
        <f t="shared" si="4"/>
        <v>255.00000000000051</v>
      </c>
    </row>
    <row r="38" spans="1:7" x14ac:dyDescent="0.25">
      <c r="A38">
        <f t="shared" si="3"/>
        <v>-460</v>
      </c>
      <c r="B38">
        <v>0.85</v>
      </c>
      <c r="C38">
        <v>0.03</v>
      </c>
      <c r="D38">
        <v>0</v>
      </c>
      <c r="E38">
        <f t="shared" si="1"/>
        <v>-379.27</v>
      </c>
      <c r="F38">
        <f t="shared" si="2"/>
        <v>11.730000000000018</v>
      </c>
      <c r="G38">
        <f t="shared" si="4"/>
        <v>260.66666666666708</v>
      </c>
    </row>
    <row r="39" spans="1:7" x14ac:dyDescent="0.25">
      <c r="A39">
        <f t="shared" si="3"/>
        <v>-470</v>
      </c>
      <c r="B39">
        <v>0.85</v>
      </c>
      <c r="C39">
        <v>0.03</v>
      </c>
      <c r="D39">
        <v>0</v>
      </c>
      <c r="E39">
        <f t="shared" si="1"/>
        <v>-387.51499999999999</v>
      </c>
      <c r="F39">
        <f t="shared" si="2"/>
        <v>11.985000000000014</v>
      </c>
      <c r="G39">
        <f t="shared" si="4"/>
        <v>266.33333333333366</v>
      </c>
    </row>
    <row r="40" spans="1:7" x14ac:dyDescent="0.25">
      <c r="A40">
        <f t="shared" si="3"/>
        <v>-480</v>
      </c>
      <c r="B40">
        <v>0.85</v>
      </c>
      <c r="C40">
        <v>0.03</v>
      </c>
      <c r="D40">
        <v>0</v>
      </c>
      <c r="E40">
        <f t="shared" si="1"/>
        <v>-395.76</v>
      </c>
      <c r="F40">
        <f t="shared" si="2"/>
        <v>12.240000000000009</v>
      </c>
      <c r="G40">
        <f t="shared" si="4"/>
        <v>272.00000000000023</v>
      </c>
    </row>
    <row r="41" spans="1:7" x14ac:dyDescent="0.25">
      <c r="A41">
        <f t="shared" si="3"/>
        <v>-490</v>
      </c>
      <c r="B41">
        <v>0.85</v>
      </c>
      <c r="C41">
        <v>0.03</v>
      </c>
      <c r="D41">
        <v>0</v>
      </c>
      <c r="E41">
        <f t="shared" si="1"/>
        <v>-404.005</v>
      </c>
      <c r="F41">
        <f t="shared" si="2"/>
        <v>12.495000000000005</v>
      </c>
      <c r="G41">
        <f t="shared" si="4"/>
        <v>277.6666666666668</v>
      </c>
    </row>
    <row r="42" spans="1:7" x14ac:dyDescent="0.25">
      <c r="A42">
        <f t="shared" si="3"/>
        <v>-500</v>
      </c>
      <c r="B42">
        <v>0.85</v>
      </c>
      <c r="C42">
        <v>0.03</v>
      </c>
      <c r="D42">
        <v>0</v>
      </c>
      <c r="E42">
        <f t="shared" si="1"/>
        <v>-412.25</v>
      </c>
      <c r="F42">
        <f t="shared" si="2"/>
        <v>12.75</v>
      </c>
      <c r="G42">
        <f t="shared" si="4"/>
        <v>283.33333333333337</v>
      </c>
    </row>
    <row r="43" spans="1:7" x14ac:dyDescent="0.25">
      <c r="A43">
        <f t="shared" si="3"/>
        <v>-510</v>
      </c>
      <c r="B43">
        <v>0.85</v>
      </c>
      <c r="C43">
        <v>0.03</v>
      </c>
      <c r="D43">
        <v>0</v>
      </c>
      <c r="E43">
        <f t="shared" si="1"/>
        <v>-420.495</v>
      </c>
      <c r="F43">
        <f t="shared" si="2"/>
        <v>13.004999999999995</v>
      </c>
      <c r="G43">
        <f t="shared" si="4"/>
        <v>288.99999999999989</v>
      </c>
    </row>
    <row r="44" spans="1:7" x14ac:dyDescent="0.25">
      <c r="A44">
        <f t="shared" si="3"/>
        <v>-520</v>
      </c>
      <c r="B44">
        <v>0.85</v>
      </c>
      <c r="C44">
        <v>0.03</v>
      </c>
      <c r="D44">
        <v>0</v>
      </c>
      <c r="E44">
        <f t="shared" si="1"/>
        <v>-428.74</v>
      </c>
      <c r="F44">
        <f t="shared" si="2"/>
        <v>13.259999999999991</v>
      </c>
      <c r="G44">
        <f t="shared" si="4"/>
        <v>294.66666666666646</v>
      </c>
    </row>
    <row r="45" spans="1:7" x14ac:dyDescent="0.25">
      <c r="A45">
        <f t="shared" si="3"/>
        <v>-530</v>
      </c>
      <c r="B45">
        <v>0.85</v>
      </c>
      <c r="C45">
        <v>0.03</v>
      </c>
      <c r="D45">
        <v>0</v>
      </c>
      <c r="E45">
        <f t="shared" si="1"/>
        <v>-436.98500000000001</v>
      </c>
      <c r="F45">
        <f t="shared" si="2"/>
        <v>13.514999999999986</v>
      </c>
      <c r="G45">
        <f t="shared" si="4"/>
        <v>300.33333333333303</v>
      </c>
    </row>
    <row r="46" spans="1:7" x14ac:dyDescent="0.25">
      <c r="A46">
        <f t="shared" si="3"/>
        <v>-540</v>
      </c>
      <c r="B46">
        <v>0.85</v>
      </c>
      <c r="C46">
        <v>0.03</v>
      </c>
      <c r="D46">
        <v>0</v>
      </c>
      <c r="E46">
        <f t="shared" si="1"/>
        <v>-445.22999999999996</v>
      </c>
      <c r="F46">
        <f t="shared" si="2"/>
        <v>13.770000000000039</v>
      </c>
      <c r="G46">
        <f t="shared" si="4"/>
        <v>306.00000000000085</v>
      </c>
    </row>
    <row r="47" spans="1:7" x14ac:dyDescent="0.25">
      <c r="A47">
        <f t="shared" si="3"/>
        <v>-550</v>
      </c>
      <c r="B47">
        <v>0.85</v>
      </c>
      <c r="C47">
        <v>0.03</v>
      </c>
      <c r="D47">
        <v>0</v>
      </c>
      <c r="E47">
        <f t="shared" si="1"/>
        <v>-453.47499999999997</v>
      </c>
      <c r="F47">
        <f t="shared" si="2"/>
        <v>14.025000000000034</v>
      </c>
      <c r="G47">
        <f t="shared" si="4"/>
        <v>311.66666666666742</v>
      </c>
    </row>
    <row r="48" spans="1:7" x14ac:dyDescent="0.25">
      <c r="A48">
        <f t="shared" si="3"/>
        <v>-560</v>
      </c>
      <c r="B48">
        <v>0.85</v>
      </c>
      <c r="C48">
        <v>0.03</v>
      </c>
      <c r="D48">
        <v>0</v>
      </c>
      <c r="E48">
        <f t="shared" si="1"/>
        <v>-461.71999999999997</v>
      </c>
      <c r="F48">
        <f t="shared" si="2"/>
        <v>14.28000000000003</v>
      </c>
      <c r="G48">
        <f t="shared" si="4"/>
        <v>317.333333333334</v>
      </c>
    </row>
    <row r="49" spans="1:7" x14ac:dyDescent="0.25">
      <c r="A49">
        <f t="shared" si="3"/>
        <v>-570</v>
      </c>
      <c r="B49">
        <v>0.85</v>
      </c>
      <c r="C49">
        <v>0.03</v>
      </c>
      <c r="D49">
        <v>0</v>
      </c>
      <c r="E49">
        <f t="shared" si="1"/>
        <v>-469.96499999999997</v>
      </c>
      <c r="F49">
        <f t="shared" si="2"/>
        <v>14.535000000000025</v>
      </c>
      <c r="G49">
        <f t="shared" si="4"/>
        <v>323.00000000000057</v>
      </c>
    </row>
    <row r="50" spans="1:7" x14ac:dyDescent="0.25">
      <c r="A50">
        <f t="shared" si="3"/>
        <v>-580</v>
      </c>
      <c r="B50">
        <v>0.85</v>
      </c>
      <c r="C50">
        <v>0.03</v>
      </c>
      <c r="D50">
        <v>0</v>
      </c>
      <c r="E50">
        <f t="shared" si="1"/>
        <v>-478.21</v>
      </c>
      <c r="F50">
        <f t="shared" si="2"/>
        <v>14.79000000000002</v>
      </c>
      <c r="G50">
        <f t="shared" si="4"/>
        <v>328.66666666666714</v>
      </c>
    </row>
    <row r="51" spans="1:7" x14ac:dyDescent="0.25">
      <c r="A51">
        <f t="shared" si="3"/>
        <v>-590</v>
      </c>
      <c r="B51">
        <v>0.85</v>
      </c>
      <c r="C51">
        <v>0.03</v>
      </c>
      <c r="D51">
        <v>0</v>
      </c>
      <c r="E51">
        <f t="shared" si="1"/>
        <v>-486.45499999999998</v>
      </c>
      <c r="F51">
        <f t="shared" si="2"/>
        <v>15.045000000000016</v>
      </c>
      <c r="G51">
        <f t="shared" si="4"/>
        <v>334.33333333333371</v>
      </c>
    </row>
    <row r="52" spans="1:7" x14ac:dyDescent="0.25">
      <c r="A52">
        <f t="shared" si="3"/>
        <v>-600</v>
      </c>
      <c r="B52">
        <v>0.85</v>
      </c>
      <c r="C52">
        <v>0.03</v>
      </c>
      <c r="D52">
        <v>0</v>
      </c>
      <c r="E52">
        <f t="shared" si="1"/>
        <v>-494.7</v>
      </c>
      <c r="F52">
        <f t="shared" si="2"/>
        <v>15.300000000000011</v>
      </c>
      <c r="G52">
        <f t="shared" si="4"/>
        <v>340.00000000000028</v>
      </c>
    </row>
    <row r="53" spans="1:7" x14ac:dyDescent="0.25">
      <c r="A53">
        <f t="shared" si="3"/>
        <v>-610</v>
      </c>
      <c r="B53">
        <v>0.85</v>
      </c>
      <c r="C53">
        <v>0.03</v>
      </c>
      <c r="D53">
        <v>0</v>
      </c>
      <c r="E53">
        <f t="shared" si="1"/>
        <v>-502.94499999999999</v>
      </c>
      <c r="F53">
        <f t="shared" si="2"/>
        <v>15.555000000000007</v>
      </c>
      <c r="G53">
        <f t="shared" si="4"/>
        <v>345.66666666666686</v>
      </c>
    </row>
    <row r="54" spans="1:7" x14ac:dyDescent="0.25">
      <c r="A54">
        <f t="shared" si="3"/>
        <v>-620</v>
      </c>
      <c r="B54">
        <v>0.85</v>
      </c>
      <c r="C54">
        <v>0.03</v>
      </c>
      <c r="D54">
        <v>0</v>
      </c>
      <c r="E54">
        <f t="shared" si="1"/>
        <v>-511.19</v>
      </c>
      <c r="F54">
        <f t="shared" si="2"/>
        <v>15.810000000000002</v>
      </c>
      <c r="G54">
        <f t="shared" si="4"/>
        <v>351.33333333333337</v>
      </c>
    </row>
    <row r="55" spans="1:7" x14ac:dyDescent="0.25">
      <c r="A55">
        <f t="shared" si="3"/>
        <v>-630</v>
      </c>
      <c r="B55">
        <v>0.85</v>
      </c>
      <c r="C55">
        <v>0.03</v>
      </c>
      <c r="D55">
        <v>0</v>
      </c>
      <c r="E55">
        <f t="shared" si="1"/>
        <v>-519.43499999999995</v>
      </c>
      <c r="F55">
        <f t="shared" si="2"/>
        <v>16.065000000000055</v>
      </c>
      <c r="G55">
        <f t="shared" si="4"/>
        <v>357.00000000000125</v>
      </c>
    </row>
    <row r="56" spans="1:7" x14ac:dyDescent="0.25">
      <c r="A56">
        <f t="shared" si="3"/>
        <v>-640</v>
      </c>
      <c r="B56">
        <v>0.85</v>
      </c>
      <c r="C56">
        <v>0.03</v>
      </c>
      <c r="D56">
        <v>0</v>
      </c>
      <c r="E56">
        <f t="shared" si="1"/>
        <v>-527.67999999999995</v>
      </c>
      <c r="F56">
        <f t="shared" si="2"/>
        <v>16.32000000000005</v>
      </c>
      <c r="G56">
        <f t="shared" si="4"/>
        <v>362.66666666666777</v>
      </c>
    </row>
    <row r="57" spans="1:7" x14ac:dyDescent="0.25">
      <c r="A57">
        <f t="shared" si="3"/>
        <v>-650</v>
      </c>
      <c r="B57">
        <v>0.85</v>
      </c>
      <c r="C57">
        <v>0.03</v>
      </c>
      <c r="D57">
        <v>0</v>
      </c>
      <c r="E57">
        <f t="shared" si="1"/>
        <v>-535.92499999999995</v>
      </c>
      <c r="F57">
        <f t="shared" si="2"/>
        <v>16.575000000000045</v>
      </c>
      <c r="G57">
        <f t="shared" si="4"/>
        <v>368.33333333333434</v>
      </c>
    </row>
    <row r="58" spans="1:7" x14ac:dyDescent="0.25">
      <c r="A58">
        <f t="shared" si="3"/>
        <v>-660</v>
      </c>
      <c r="B58">
        <v>0.85</v>
      </c>
      <c r="C58">
        <v>0.03</v>
      </c>
      <c r="D58">
        <v>0</v>
      </c>
      <c r="E58">
        <f t="shared" si="1"/>
        <v>-544.16999999999996</v>
      </c>
      <c r="F58">
        <f t="shared" si="2"/>
        <v>16.830000000000041</v>
      </c>
      <c r="G58">
        <f t="shared" si="4"/>
        <v>374.00000000000091</v>
      </c>
    </row>
    <row r="59" spans="1:7" x14ac:dyDescent="0.25">
      <c r="A59">
        <f t="shared" si="3"/>
        <v>-670</v>
      </c>
      <c r="B59">
        <v>0.85</v>
      </c>
      <c r="C59">
        <v>0.03</v>
      </c>
      <c r="D59">
        <v>0</v>
      </c>
      <c r="E59">
        <f t="shared" si="1"/>
        <v>-552.41499999999996</v>
      </c>
      <c r="F59">
        <f t="shared" si="2"/>
        <v>17.085000000000036</v>
      </c>
      <c r="G59">
        <f t="shared" si="4"/>
        <v>379.66666666666748</v>
      </c>
    </row>
    <row r="60" spans="1:7" x14ac:dyDescent="0.25">
      <c r="A60">
        <f t="shared" si="3"/>
        <v>-680</v>
      </c>
      <c r="B60">
        <v>0.85</v>
      </c>
      <c r="C60">
        <v>0.03</v>
      </c>
      <c r="D60">
        <v>0</v>
      </c>
      <c r="E60">
        <f t="shared" si="1"/>
        <v>-560.66</v>
      </c>
      <c r="F60">
        <f t="shared" si="2"/>
        <v>17.340000000000032</v>
      </c>
      <c r="G60">
        <f t="shared" si="4"/>
        <v>385.33333333333405</v>
      </c>
    </row>
    <row r="61" spans="1:7" x14ac:dyDescent="0.25">
      <c r="A61">
        <f t="shared" si="3"/>
        <v>-690</v>
      </c>
      <c r="B61">
        <v>0.85</v>
      </c>
      <c r="C61">
        <v>0.03</v>
      </c>
      <c r="D61">
        <v>0</v>
      </c>
      <c r="E61">
        <f t="shared" si="1"/>
        <v>-568.90499999999997</v>
      </c>
      <c r="F61">
        <f t="shared" si="2"/>
        <v>17.595000000000027</v>
      </c>
      <c r="G61">
        <f t="shared" si="4"/>
        <v>391.00000000000063</v>
      </c>
    </row>
    <row r="62" spans="1:7" x14ac:dyDescent="0.25">
      <c r="A62">
        <f t="shared" si="3"/>
        <v>-700</v>
      </c>
      <c r="B62">
        <v>0.85</v>
      </c>
      <c r="C62">
        <v>0.03</v>
      </c>
      <c r="D62">
        <v>0</v>
      </c>
      <c r="E62">
        <f t="shared" si="1"/>
        <v>-577.15</v>
      </c>
      <c r="F62">
        <f t="shared" si="2"/>
        <v>17.850000000000023</v>
      </c>
      <c r="G62">
        <f t="shared" si="4"/>
        <v>396.6666666666672</v>
      </c>
    </row>
    <row r="63" spans="1:7" x14ac:dyDescent="0.25">
      <c r="A63">
        <f t="shared" si="3"/>
        <v>-710</v>
      </c>
      <c r="B63">
        <v>0.85</v>
      </c>
      <c r="C63">
        <v>0.03</v>
      </c>
      <c r="D63">
        <v>0</v>
      </c>
      <c r="E63">
        <f t="shared" si="1"/>
        <v>-585.39499999999998</v>
      </c>
      <c r="F63">
        <f t="shared" si="2"/>
        <v>18.105000000000018</v>
      </c>
      <c r="G63">
        <f t="shared" si="4"/>
        <v>402.33333333333377</v>
      </c>
    </row>
    <row r="64" spans="1:7" x14ac:dyDescent="0.25">
      <c r="A64">
        <f t="shared" si="3"/>
        <v>-720</v>
      </c>
      <c r="B64">
        <v>0.85</v>
      </c>
      <c r="C64">
        <v>0.03</v>
      </c>
      <c r="D64">
        <v>0</v>
      </c>
      <c r="E64">
        <f t="shared" si="1"/>
        <v>-593.64</v>
      </c>
      <c r="F64">
        <f t="shared" si="2"/>
        <v>18.360000000000014</v>
      </c>
      <c r="G64">
        <f t="shared" si="4"/>
        <v>408.00000000000034</v>
      </c>
    </row>
    <row r="65" spans="1:7" x14ac:dyDescent="0.25">
      <c r="A65">
        <f t="shared" si="3"/>
        <v>-730</v>
      </c>
      <c r="B65">
        <v>0.85</v>
      </c>
      <c r="C65">
        <v>0.03</v>
      </c>
      <c r="D65">
        <v>0</v>
      </c>
      <c r="E65">
        <f t="shared" si="1"/>
        <v>-601.88499999999999</v>
      </c>
      <c r="F65">
        <f t="shared" si="2"/>
        <v>18.615000000000009</v>
      </c>
      <c r="G65">
        <f t="shared" si="4"/>
        <v>413.66666666666686</v>
      </c>
    </row>
    <row r="66" spans="1:7" x14ac:dyDescent="0.25">
      <c r="A66">
        <f t="shared" si="3"/>
        <v>-740</v>
      </c>
      <c r="B66">
        <v>0.85</v>
      </c>
      <c r="C66">
        <v>0.03</v>
      </c>
      <c r="D66">
        <v>0</v>
      </c>
      <c r="E66">
        <f t="shared" si="1"/>
        <v>-610.13</v>
      </c>
      <c r="F66">
        <f t="shared" si="2"/>
        <v>18.870000000000005</v>
      </c>
      <c r="G66">
        <f t="shared" si="4"/>
        <v>419.33333333333343</v>
      </c>
    </row>
    <row r="67" spans="1:7" x14ac:dyDescent="0.25">
      <c r="A67">
        <f t="shared" si="3"/>
        <v>-750</v>
      </c>
      <c r="B67">
        <v>0.85</v>
      </c>
      <c r="C67">
        <v>0.03</v>
      </c>
      <c r="D67">
        <v>0</v>
      </c>
      <c r="E67">
        <f t="shared" ref="E67:E130" si="5">(A67*B67+D67)*(1-C67)</f>
        <v>-618.375</v>
      </c>
      <c r="F67">
        <f t="shared" ref="F67:F130" si="6">-(A67*B67-E67)</f>
        <v>19.125</v>
      </c>
      <c r="G67">
        <f t="shared" si="4"/>
        <v>425</v>
      </c>
    </row>
    <row r="68" spans="1:7" x14ac:dyDescent="0.25">
      <c r="A68">
        <f t="shared" ref="A68:A131" si="7">A67-10</f>
        <v>-760</v>
      </c>
      <c r="B68">
        <v>0.85</v>
      </c>
      <c r="C68">
        <v>0.03</v>
      </c>
      <c r="D68">
        <v>0</v>
      </c>
      <c r="E68">
        <f t="shared" si="5"/>
        <v>-626.62</v>
      </c>
      <c r="F68">
        <f t="shared" si="6"/>
        <v>19.379999999999995</v>
      </c>
      <c r="G68">
        <f t="shared" si="4"/>
        <v>430.66666666666657</v>
      </c>
    </row>
    <row r="69" spans="1:7" x14ac:dyDescent="0.25">
      <c r="A69">
        <f t="shared" si="7"/>
        <v>-770</v>
      </c>
      <c r="B69">
        <v>0.85</v>
      </c>
      <c r="C69">
        <v>0.03</v>
      </c>
      <c r="D69">
        <v>0</v>
      </c>
      <c r="E69">
        <f t="shared" si="5"/>
        <v>-634.86500000000001</v>
      </c>
      <c r="F69">
        <f t="shared" si="6"/>
        <v>19.634999999999991</v>
      </c>
      <c r="G69">
        <f t="shared" si="4"/>
        <v>436.33333333333314</v>
      </c>
    </row>
    <row r="70" spans="1:7" x14ac:dyDescent="0.25">
      <c r="A70">
        <f t="shared" si="7"/>
        <v>-780</v>
      </c>
      <c r="B70">
        <v>0.85</v>
      </c>
      <c r="C70">
        <v>0.03</v>
      </c>
      <c r="D70">
        <v>0</v>
      </c>
      <c r="E70">
        <f t="shared" si="5"/>
        <v>-643.11</v>
      </c>
      <c r="F70">
        <f t="shared" si="6"/>
        <v>19.889999999999986</v>
      </c>
      <c r="G70">
        <f t="shared" si="4"/>
        <v>441.99999999999972</v>
      </c>
    </row>
    <row r="71" spans="1:7" x14ac:dyDescent="0.25">
      <c r="A71">
        <f t="shared" si="7"/>
        <v>-790</v>
      </c>
      <c r="B71">
        <v>0.85</v>
      </c>
      <c r="C71">
        <v>0.03</v>
      </c>
      <c r="D71">
        <v>0</v>
      </c>
      <c r="E71">
        <f t="shared" si="5"/>
        <v>-651.35500000000002</v>
      </c>
      <c r="F71">
        <f t="shared" si="6"/>
        <v>20.144999999999982</v>
      </c>
      <c r="G71">
        <f t="shared" si="4"/>
        <v>447.66666666666629</v>
      </c>
    </row>
    <row r="72" spans="1:7" x14ac:dyDescent="0.25">
      <c r="A72">
        <f t="shared" si="7"/>
        <v>-800</v>
      </c>
      <c r="B72">
        <v>0.85</v>
      </c>
      <c r="C72">
        <v>0.03</v>
      </c>
      <c r="D72">
        <v>0</v>
      </c>
      <c r="E72">
        <f t="shared" si="5"/>
        <v>-659.6</v>
      </c>
      <c r="F72">
        <f t="shared" si="6"/>
        <v>20.399999999999977</v>
      </c>
      <c r="G72">
        <f t="shared" si="4"/>
        <v>453.33333333333286</v>
      </c>
    </row>
    <row r="73" spans="1:7" x14ac:dyDescent="0.25">
      <c r="A73">
        <f t="shared" si="7"/>
        <v>-810</v>
      </c>
      <c r="B73">
        <v>0.85</v>
      </c>
      <c r="C73">
        <v>0.03</v>
      </c>
      <c r="D73">
        <v>0</v>
      </c>
      <c r="E73">
        <f t="shared" si="5"/>
        <v>-667.84500000000003</v>
      </c>
      <c r="F73">
        <f t="shared" si="6"/>
        <v>20.654999999999973</v>
      </c>
      <c r="G73">
        <f t="shared" si="4"/>
        <v>458.99999999999943</v>
      </c>
    </row>
    <row r="74" spans="1:7" x14ac:dyDescent="0.25">
      <c r="A74">
        <f t="shared" si="7"/>
        <v>-820</v>
      </c>
      <c r="B74">
        <v>0.85</v>
      </c>
      <c r="C74">
        <v>0.03</v>
      </c>
      <c r="D74">
        <v>0</v>
      </c>
      <c r="E74">
        <f t="shared" si="5"/>
        <v>-676.09</v>
      </c>
      <c r="F74">
        <f t="shared" si="6"/>
        <v>20.909999999999968</v>
      </c>
      <c r="G74">
        <f t="shared" si="4"/>
        <v>464.666666666666</v>
      </c>
    </row>
    <row r="75" spans="1:7" x14ac:dyDescent="0.25">
      <c r="A75">
        <f t="shared" si="7"/>
        <v>-830</v>
      </c>
      <c r="B75">
        <v>0.85</v>
      </c>
      <c r="C75">
        <v>0.03</v>
      </c>
      <c r="D75">
        <v>0</v>
      </c>
      <c r="E75">
        <f t="shared" si="5"/>
        <v>-684.33500000000004</v>
      </c>
      <c r="F75">
        <f t="shared" si="6"/>
        <v>21.164999999999964</v>
      </c>
      <c r="G75">
        <f t="shared" si="4"/>
        <v>470.33333333333252</v>
      </c>
    </row>
    <row r="76" spans="1:7" x14ac:dyDescent="0.25">
      <c r="A76">
        <f t="shared" si="7"/>
        <v>-840</v>
      </c>
      <c r="B76">
        <v>0.85</v>
      </c>
      <c r="C76">
        <v>0.03</v>
      </c>
      <c r="D76">
        <v>0</v>
      </c>
      <c r="E76">
        <f t="shared" si="5"/>
        <v>-692.57999999999993</v>
      </c>
      <c r="F76">
        <f t="shared" si="6"/>
        <v>21.420000000000073</v>
      </c>
      <c r="G76">
        <f t="shared" si="4"/>
        <v>476.00000000000165</v>
      </c>
    </row>
    <row r="77" spans="1:7" x14ac:dyDescent="0.25">
      <c r="A77">
        <f t="shared" si="7"/>
        <v>-850</v>
      </c>
      <c r="B77">
        <v>0.85</v>
      </c>
      <c r="C77">
        <v>0.03</v>
      </c>
      <c r="D77">
        <v>0</v>
      </c>
      <c r="E77">
        <f t="shared" si="5"/>
        <v>-700.82499999999993</v>
      </c>
      <c r="F77">
        <f t="shared" si="6"/>
        <v>21.675000000000068</v>
      </c>
      <c r="G77">
        <f t="shared" si="4"/>
        <v>481.66666666666822</v>
      </c>
    </row>
    <row r="78" spans="1:7" x14ac:dyDescent="0.25">
      <c r="A78">
        <f t="shared" si="7"/>
        <v>-860</v>
      </c>
      <c r="B78">
        <v>0.85</v>
      </c>
      <c r="C78">
        <v>0.03</v>
      </c>
      <c r="D78">
        <v>0</v>
      </c>
      <c r="E78">
        <f t="shared" si="5"/>
        <v>-709.06999999999994</v>
      </c>
      <c r="F78">
        <f t="shared" si="6"/>
        <v>21.930000000000064</v>
      </c>
      <c r="G78">
        <f t="shared" si="4"/>
        <v>487.33333333333479</v>
      </c>
    </row>
    <row r="79" spans="1:7" x14ac:dyDescent="0.25">
      <c r="A79">
        <f t="shared" si="7"/>
        <v>-870</v>
      </c>
      <c r="B79">
        <v>0.85</v>
      </c>
      <c r="C79">
        <v>0.03</v>
      </c>
      <c r="D79">
        <v>0</v>
      </c>
      <c r="E79">
        <f t="shared" si="5"/>
        <v>-717.31499999999994</v>
      </c>
      <c r="F79">
        <f t="shared" si="6"/>
        <v>22.185000000000059</v>
      </c>
      <c r="G79">
        <f t="shared" si="4"/>
        <v>493.00000000000131</v>
      </c>
    </row>
    <row r="80" spans="1:7" x14ac:dyDescent="0.25">
      <c r="A80">
        <f t="shared" si="7"/>
        <v>-880</v>
      </c>
      <c r="B80">
        <v>0.85</v>
      </c>
      <c r="C80">
        <v>0.03</v>
      </c>
      <c r="D80">
        <v>0</v>
      </c>
      <c r="E80">
        <f t="shared" si="5"/>
        <v>-725.56</v>
      </c>
      <c r="F80">
        <f t="shared" si="6"/>
        <v>22.440000000000055</v>
      </c>
      <c r="G80">
        <f t="shared" si="4"/>
        <v>498.66666666666788</v>
      </c>
    </row>
    <row r="81" spans="1:7" x14ac:dyDescent="0.25">
      <c r="A81">
        <f t="shared" si="7"/>
        <v>-890</v>
      </c>
      <c r="B81">
        <v>0.85</v>
      </c>
      <c r="C81">
        <v>0.03</v>
      </c>
      <c r="D81">
        <v>0</v>
      </c>
      <c r="E81">
        <f t="shared" si="5"/>
        <v>-733.80499999999995</v>
      </c>
      <c r="F81">
        <f t="shared" si="6"/>
        <v>22.69500000000005</v>
      </c>
      <c r="G81">
        <f t="shared" si="4"/>
        <v>504.33333333333445</v>
      </c>
    </row>
    <row r="82" spans="1:7" x14ac:dyDescent="0.25">
      <c r="A82">
        <f t="shared" si="7"/>
        <v>-900</v>
      </c>
      <c r="B82">
        <v>0.85</v>
      </c>
      <c r="C82">
        <v>0.03</v>
      </c>
      <c r="D82">
        <v>0</v>
      </c>
      <c r="E82">
        <f t="shared" si="5"/>
        <v>-742.05</v>
      </c>
      <c r="F82">
        <f t="shared" si="6"/>
        <v>22.950000000000045</v>
      </c>
      <c r="G82">
        <f t="shared" si="4"/>
        <v>510.00000000000102</v>
      </c>
    </row>
    <row r="83" spans="1:7" x14ac:dyDescent="0.25">
      <c r="A83">
        <f t="shared" si="7"/>
        <v>-910</v>
      </c>
      <c r="B83">
        <v>0.85</v>
      </c>
      <c r="C83">
        <v>0.03</v>
      </c>
      <c r="D83">
        <v>0</v>
      </c>
      <c r="E83">
        <f t="shared" si="5"/>
        <v>-750.29499999999996</v>
      </c>
      <c r="F83">
        <f t="shared" si="6"/>
        <v>23.205000000000041</v>
      </c>
      <c r="G83">
        <f t="shared" si="4"/>
        <v>515.66666666666765</v>
      </c>
    </row>
    <row r="84" spans="1:7" x14ac:dyDescent="0.25">
      <c r="A84">
        <f t="shared" si="7"/>
        <v>-920</v>
      </c>
      <c r="B84">
        <v>0.85</v>
      </c>
      <c r="C84">
        <v>0.03</v>
      </c>
      <c r="D84">
        <v>0</v>
      </c>
      <c r="E84">
        <f t="shared" si="5"/>
        <v>-758.54</v>
      </c>
      <c r="F84">
        <f t="shared" si="6"/>
        <v>23.460000000000036</v>
      </c>
      <c r="G84">
        <f t="shared" si="4"/>
        <v>521.33333333333417</v>
      </c>
    </row>
    <row r="85" spans="1:7" x14ac:dyDescent="0.25">
      <c r="A85">
        <f t="shared" si="7"/>
        <v>-930</v>
      </c>
      <c r="B85">
        <v>0.85</v>
      </c>
      <c r="C85">
        <v>0.03</v>
      </c>
      <c r="D85">
        <v>0</v>
      </c>
      <c r="E85">
        <f t="shared" si="5"/>
        <v>-766.78499999999997</v>
      </c>
      <c r="F85">
        <f t="shared" si="6"/>
        <v>23.715000000000032</v>
      </c>
      <c r="G85">
        <f t="shared" si="4"/>
        <v>527.00000000000068</v>
      </c>
    </row>
    <row r="86" spans="1:7" x14ac:dyDescent="0.25">
      <c r="A86">
        <f t="shared" si="7"/>
        <v>-940</v>
      </c>
      <c r="B86">
        <v>0.85</v>
      </c>
      <c r="C86">
        <v>0.03</v>
      </c>
      <c r="D86">
        <v>0</v>
      </c>
      <c r="E86">
        <f t="shared" si="5"/>
        <v>-775.03</v>
      </c>
      <c r="F86">
        <f t="shared" si="6"/>
        <v>23.970000000000027</v>
      </c>
      <c r="G86">
        <f t="shared" si="4"/>
        <v>532.66666666666731</v>
      </c>
    </row>
    <row r="87" spans="1:7" x14ac:dyDescent="0.25">
      <c r="A87">
        <f t="shared" si="7"/>
        <v>-950</v>
      </c>
      <c r="B87">
        <v>0.85</v>
      </c>
      <c r="C87">
        <v>0.03</v>
      </c>
      <c r="D87">
        <v>0</v>
      </c>
      <c r="E87">
        <f t="shared" si="5"/>
        <v>-783.27499999999998</v>
      </c>
      <c r="F87">
        <f t="shared" si="6"/>
        <v>24.225000000000023</v>
      </c>
      <c r="G87">
        <f t="shared" si="4"/>
        <v>538.33333333333383</v>
      </c>
    </row>
    <row r="88" spans="1:7" x14ac:dyDescent="0.25">
      <c r="A88">
        <f t="shared" si="7"/>
        <v>-960</v>
      </c>
      <c r="B88">
        <v>0.85</v>
      </c>
      <c r="C88">
        <v>0.03</v>
      </c>
      <c r="D88">
        <v>0</v>
      </c>
      <c r="E88">
        <f t="shared" si="5"/>
        <v>-791.52</v>
      </c>
      <c r="F88">
        <f t="shared" si="6"/>
        <v>24.480000000000018</v>
      </c>
      <c r="G88">
        <f t="shared" si="4"/>
        <v>544.00000000000045</v>
      </c>
    </row>
    <row r="89" spans="1:7" x14ac:dyDescent="0.25">
      <c r="A89">
        <f t="shared" si="7"/>
        <v>-970</v>
      </c>
      <c r="B89">
        <v>0.85</v>
      </c>
      <c r="C89">
        <v>0.03</v>
      </c>
      <c r="D89">
        <v>0</v>
      </c>
      <c r="E89">
        <f t="shared" si="5"/>
        <v>-799.76499999999999</v>
      </c>
      <c r="F89">
        <f t="shared" si="6"/>
        <v>24.735000000000014</v>
      </c>
      <c r="G89">
        <f t="shared" si="4"/>
        <v>549.66666666666697</v>
      </c>
    </row>
    <row r="90" spans="1:7" x14ac:dyDescent="0.25">
      <c r="A90">
        <f t="shared" si="7"/>
        <v>-980</v>
      </c>
      <c r="B90">
        <v>0.85</v>
      </c>
      <c r="C90">
        <v>0.03</v>
      </c>
      <c r="D90">
        <v>0</v>
      </c>
      <c r="E90">
        <f t="shared" si="5"/>
        <v>-808.01</v>
      </c>
      <c r="F90">
        <f t="shared" si="6"/>
        <v>24.990000000000009</v>
      </c>
      <c r="G90">
        <f t="shared" si="4"/>
        <v>555.3333333333336</v>
      </c>
    </row>
    <row r="91" spans="1:7" x14ac:dyDescent="0.25">
      <c r="A91">
        <f t="shared" si="7"/>
        <v>-990</v>
      </c>
      <c r="B91">
        <v>0.85</v>
      </c>
      <c r="C91">
        <v>0.03</v>
      </c>
      <c r="D91">
        <v>0</v>
      </c>
      <c r="E91">
        <f t="shared" si="5"/>
        <v>-816.255</v>
      </c>
      <c r="F91">
        <f t="shared" si="6"/>
        <v>25.245000000000005</v>
      </c>
      <c r="G91">
        <f t="shared" si="4"/>
        <v>561.00000000000011</v>
      </c>
    </row>
    <row r="92" spans="1:7" x14ac:dyDescent="0.25">
      <c r="A92">
        <f t="shared" si="7"/>
        <v>-1000</v>
      </c>
      <c r="B92">
        <v>0.85</v>
      </c>
      <c r="C92">
        <v>0.03</v>
      </c>
      <c r="D92">
        <v>0</v>
      </c>
      <c r="E92">
        <f t="shared" si="5"/>
        <v>-824.5</v>
      </c>
      <c r="F92">
        <f t="shared" si="6"/>
        <v>25.5</v>
      </c>
      <c r="G92">
        <f t="shared" si="4"/>
        <v>566.66666666666674</v>
      </c>
    </row>
    <row r="93" spans="1:7" x14ac:dyDescent="0.25">
      <c r="A93">
        <f t="shared" si="7"/>
        <v>-1010</v>
      </c>
      <c r="B93">
        <v>0.85</v>
      </c>
      <c r="C93">
        <v>0.03</v>
      </c>
      <c r="D93">
        <v>0</v>
      </c>
      <c r="E93">
        <f t="shared" si="5"/>
        <v>-832.745</v>
      </c>
      <c r="F93">
        <f t="shared" si="6"/>
        <v>25.754999999999995</v>
      </c>
      <c r="G93">
        <f t="shared" si="4"/>
        <v>572.33333333333326</v>
      </c>
    </row>
    <row r="94" spans="1:7" x14ac:dyDescent="0.25">
      <c r="A94">
        <f t="shared" si="7"/>
        <v>-1020</v>
      </c>
      <c r="B94">
        <v>0.85</v>
      </c>
      <c r="C94">
        <v>0.03</v>
      </c>
      <c r="D94">
        <v>0</v>
      </c>
      <c r="E94">
        <f t="shared" si="5"/>
        <v>-840.99</v>
      </c>
      <c r="F94">
        <f t="shared" si="6"/>
        <v>26.009999999999991</v>
      </c>
      <c r="G94">
        <f t="shared" si="4"/>
        <v>577.99999999999977</v>
      </c>
    </row>
    <row r="95" spans="1:7" x14ac:dyDescent="0.25">
      <c r="A95">
        <f t="shared" si="7"/>
        <v>-1030</v>
      </c>
      <c r="B95">
        <v>0.85</v>
      </c>
      <c r="C95">
        <v>0.03</v>
      </c>
      <c r="D95">
        <v>0</v>
      </c>
      <c r="E95">
        <f t="shared" si="5"/>
        <v>-849.23500000000001</v>
      </c>
      <c r="F95">
        <f t="shared" si="6"/>
        <v>26.264999999999986</v>
      </c>
      <c r="G95">
        <f t="shared" ref="G95:G158" si="8">F95*2/0.09</f>
        <v>583.6666666666664</v>
      </c>
    </row>
    <row r="96" spans="1:7" x14ac:dyDescent="0.25">
      <c r="A96">
        <f t="shared" si="7"/>
        <v>-1040</v>
      </c>
      <c r="B96">
        <v>0.85</v>
      </c>
      <c r="C96">
        <v>0.03</v>
      </c>
      <c r="D96">
        <v>0</v>
      </c>
      <c r="E96">
        <f t="shared" si="5"/>
        <v>-857.48</v>
      </c>
      <c r="F96">
        <f t="shared" si="6"/>
        <v>26.519999999999982</v>
      </c>
      <c r="G96">
        <f t="shared" si="8"/>
        <v>589.33333333333292</v>
      </c>
    </row>
    <row r="97" spans="1:7" x14ac:dyDescent="0.25">
      <c r="A97">
        <f t="shared" si="7"/>
        <v>-1050</v>
      </c>
      <c r="B97">
        <v>0.85</v>
      </c>
      <c r="C97">
        <v>0.03</v>
      </c>
      <c r="D97">
        <v>0</v>
      </c>
      <c r="E97">
        <f t="shared" si="5"/>
        <v>-865.72500000000002</v>
      </c>
      <c r="F97">
        <f t="shared" si="6"/>
        <v>26.774999999999977</v>
      </c>
      <c r="G97">
        <f t="shared" si="8"/>
        <v>594.99999999999955</v>
      </c>
    </row>
    <row r="98" spans="1:7" x14ac:dyDescent="0.25">
      <c r="A98">
        <f t="shared" si="7"/>
        <v>-1060</v>
      </c>
      <c r="B98">
        <v>0.85</v>
      </c>
      <c r="C98">
        <v>0.03</v>
      </c>
      <c r="D98">
        <v>0</v>
      </c>
      <c r="E98">
        <f t="shared" si="5"/>
        <v>-873.97</v>
      </c>
      <c r="F98">
        <f t="shared" si="6"/>
        <v>27.029999999999973</v>
      </c>
      <c r="G98">
        <f t="shared" si="8"/>
        <v>600.66666666666606</v>
      </c>
    </row>
    <row r="99" spans="1:7" x14ac:dyDescent="0.25">
      <c r="A99">
        <f t="shared" si="7"/>
        <v>-1070</v>
      </c>
      <c r="B99">
        <v>0.85</v>
      </c>
      <c r="C99">
        <v>0.03</v>
      </c>
      <c r="D99">
        <v>0</v>
      </c>
      <c r="E99">
        <f t="shared" si="5"/>
        <v>-882.21500000000003</v>
      </c>
      <c r="F99">
        <f t="shared" si="6"/>
        <v>27.284999999999968</v>
      </c>
      <c r="G99">
        <f t="shared" si="8"/>
        <v>606.33333333333269</v>
      </c>
    </row>
    <row r="100" spans="1:7" x14ac:dyDescent="0.25">
      <c r="A100">
        <f t="shared" si="7"/>
        <v>-1080</v>
      </c>
      <c r="B100">
        <v>0.85</v>
      </c>
      <c r="C100">
        <v>0.03</v>
      </c>
      <c r="D100">
        <v>0</v>
      </c>
      <c r="E100">
        <f t="shared" si="5"/>
        <v>-890.45999999999992</v>
      </c>
      <c r="F100">
        <f t="shared" si="6"/>
        <v>27.540000000000077</v>
      </c>
      <c r="G100">
        <f t="shared" si="8"/>
        <v>612.00000000000171</v>
      </c>
    </row>
    <row r="101" spans="1:7" x14ac:dyDescent="0.25">
      <c r="A101">
        <f t="shared" si="7"/>
        <v>-1090</v>
      </c>
      <c r="B101">
        <v>0.85</v>
      </c>
      <c r="C101">
        <v>0.03</v>
      </c>
      <c r="D101">
        <v>0</v>
      </c>
      <c r="E101">
        <f t="shared" si="5"/>
        <v>-898.70499999999993</v>
      </c>
      <c r="F101">
        <f t="shared" si="6"/>
        <v>27.795000000000073</v>
      </c>
      <c r="G101">
        <f t="shared" si="8"/>
        <v>617.66666666666833</v>
      </c>
    </row>
    <row r="102" spans="1:7" x14ac:dyDescent="0.25">
      <c r="A102">
        <f t="shared" si="7"/>
        <v>-1100</v>
      </c>
      <c r="B102">
        <v>0.85</v>
      </c>
      <c r="C102">
        <v>0.03</v>
      </c>
      <c r="D102">
        <v>0</v>
      </c>
      <c r="E102">
        <f t="shared" si="5"/>
        <v>-906.94999999999993</v>
      </c>
      <c r="F102">
        <f t="shared" si="6"/>
        <v>28.050000000000068</v>
      </c>
      <c r="G102">
        <f t="shared" si="8"/>
        <v>623.33333333333485</v>
      </c>
    </row>
    <row r="103" spans="1:7" x14ac:dyDescent="0.25">
      <c r="A103">
        <f t="shared" si="7"/>
        <v>-1110</v>
      </c>
      <c r="B103">
        <v>0.85</v>
      </c>
      <c r="C103">
        <v>0.03</v>
      </c>
      <c r="D103">
        <v>0</v>
      </c>
      <c r="E103">
        <f t="shared" si="5"/>
        <v>-915.19499999999994</v>
      </c>
      <c r="F103">
        <f t="shared" si="6"/>
        <v>28.305000000000064</v>
      </c>
      <c r="G103">
        <f t="shared" si="8"/>
        <v>629.00000000000148</v>
      </c>
    </row>
    <row r="104" spans="1:7" x14ac:dyDescent="0.25">
      <c r="A104">
        <f t="shared" si="7"/>
        <v>-1120</v>
      </c>
      <c r="B104">
        <v>0.85</v>
      </c>
      <c r="C104">
        <v>0.03</v>
      </c>
      <c r="D104">
        <v>0</v>
      </c>
      <c r="E104">
        <f t="shared" si="5"/>
        <v>-923.43999999999994</v>
      </c>
      <c r="F104">
        <f t="shared" si="6"/>
        <v>28.560000000000059</v>
      </c>
      <c r="G104">
        <f t="shared" si="8"/>
        <v>634.66666666666799</v>
      </c>
    </row>
    <row r="105" spans="1:7" x14ac:dyDescent="0.25">
      <c r="A105">
        <f t="shared" si="7"/>
        <v>-1130</v>
      </c>
      <c r="B105">
        <v>0.85</v>
      </c>
      <c r="C105">
        <v>0.03</v>
      </c>
      <c r="D105">
        <v>0</v>
      </c>
      <c r="E105">
        <f t="shared" si="5"/>
        <v>-931.68499999999995</v>
      </c>
      <c r="F105">
        <f t="shared" si="6"/>
        <v>28.815000000000055</v>
      </c>
      <c r="G105">
        <f t="shared" si="8"/>
        <v>640.33333333333462</v>
      </c>
    </row>
    <row r="106" spans="1:7" x14ac:dyDescent="0.25">
      <c r="A106">
        <f t="shared" si="7"/>
        <v>-1140</v>
      </c>
      <c r="B106">
        <v>0.85</v>
      </c>
      <c r="C106">
        <v>0.03</v>
      </c>
      <c r="D106">
        <v>0</v>
      </c>
      <c r="E106">
        <f t="shared" si="5"/>
        <v>-939.93</v>
      </c>
      <c r="F106">
        <f t="shared" si="6"/>
        <v>29.07000000000005</v>
      </c>
      <c r="G106">
        <f t="shared" si="8"/>
        <v>646.00000000000114</v>
      </c>
    </row>
    <row r="107" spans="1:7" x14ac:dyDescent="0.25">
      <c r="A107">
        <f t="shared" si="7"/>
        <v>-1150</v>
      </c>
      <c r="B107">
        <v>0.85</v>
      </c>
      <c r="C107">
        <v>0.03</v>
      </c>
      <c r="D107">
        <v>0</v>
      </c>
      <c r="E107">
        <f t="shared" si="5"/>
        <v>-948.17499999999995</v>
      </c>
      <c r="F107">
        <f t="shared" si="6"/>
        <v>29.325000000000045</v>
      </c>
      <c r="G107">
        <f t="shared" si="8"/>
        <v>651.66666666666765</v>
      </c>
    </row>
    <row r="108" spans="1:7" x14ac:dyDescent="0.25">
      <c r="A108">
        <f t="shared" si="7"/>
        <v>-1160</v>
      </c>
      <c r="B108">
        <v>0.85</v>
      </c>
      <c r="C108">
        <v>0.03</v>
      </c>
      <c r="D108">
        <v>0</v>
      </c>
      <c r="E108">
        <f t="shared" si="5"/>
        <v>-956.42</v>
      </c>
      <c r="F108">
        <f t="shared" si="6"/>
        <v>29.580000000000041</v>
      </c>
      <c r="G108">
        <f t="shared" si="8"/>
        <v>657.33333333333428</v>
      </c>
    </row>
    <row r="109" spans="1:7" x14ac:dyDescent="0.25">
      <c r="A109">
        <f t="shared" si="7"/>
        <v>-1170</v>
      </c>
      <c r="B109">
        <v>0.85</v>
      </c>
      <c r="C109">
        <v>0.03</v>
      </c>
      <c r="D109">
        <v>0</v>
      </c>
      <c r="E109">
        <f t="shared" si="5"/>
        <v>-964.66499999999996</v>
      </c>
      <c r="F109">
        <f t="shared" si="6"/>
        <v>29.835000000000036</v>
      </c>
      <c r="G109">
        <f t="shared" si="8"/>
        <v>663.0000000000008</v>
      </c>
    </row>
    <row r="110" spans="1:7" x14ac:dyDescent="0.25">
      <c r="A110">
        <f t="shared" si="7"/>
        <v>-1180</v>
      </c>
      <c r="B110">
        <v>0.85</v>
      </c>
      <c r="C110">
        <v>0.03</v>
      </c>
      <c r="D110">
        <v>0</v>
      </c>
      <c r="E110">
        <f t="shared" si="5"/>
        <v>-972.91</v>
      </c>
      <c r="F110">
        <f t="shared" si="6"/>
        <v>30.090000000000032</v>
      </c>
      <c r="G110">
        <f t="shared" si="8"/>
        <v>668.66666666666742</v>
      </c>
    </row>
    <row r="111" spans="1:7" x14ac:dyDescent="0.25">
      <c r="A111">
        <f t="shared" si="7"/>
        <v>-1190</v>
      </c>
      <c r="B111">
        <v>0.85</v>
      </c>
      <c r="C111">
        <v>0.03</v>
      </c>
      <c r="D111">
        <v>0</v>
      </c>
      <c r="E111">
        <f t="shared" si="5"/>
        <v>-981.15499999999997</v>
      </c>
      <c r="F111">
        <f t="shared" si="6"/>
        <v>30.345000000000027</v>
      </c>
      <c r="G111">
        <f t="shared" si="8"/>
        <v>674.33333333333394</v>
      </c>
    </row>
    <row r="112" spans="1:7" x14ac:dyDescent="0.25">
      <c r="A112">
        <f t="shared" si="7"/>
        <v>-1200</v>
      </c>
      <c r="B112">
        <v>0.85</v>
      </c>
      <c r="C112">
        <v>0.03</v>
      </c>
      <c r="D112">
        <v>0</v>
      </c>
      <c r="E112">
        <f t="shared" si="5"/>
        <v>-989.4</v>
      </c>
      <c r="F112">
        <f t="shared" si="6"/>
        <v>30.600000000000023</v>
      </c>
      <c r="G112">
        <f t="shared" si="8"/>
        <v>680.00000000000057</v>
      </c>
    </row>
    <row r="113" spans="1:7" x14ac:dyDescent="0.25">
      <c r="A113">
        <f t="shared" si="7"/>
        <v>-1210</v>
      </c>
      <c r="B113">
        <v>0.85</v>
      </c>
      <c r="C113">
        <v>0.03</v>
      </c>
      <c r="D113">
        <v>0</v>
      </c>
      <c r="E113">
        <f t="shared" si="5"/>
        <v>-997.64499999999998</v>
      </c>
      <c r="F113">
        <f t="shared" si="6"/>
        <v>30.855000000000018</v>
      </c>
      <c r="G113">
        <f t="shared" si="8"/>
        <v>685.66666666666708</v>
      </c>
    </row>
    <row r="114" spans="1:7" x14ac:dyDescent="0.25">
      <c r="A114">
        <f t="shared" si="7"/>
        <v>-1220</v>
      </c>
      <c r="B114">
        <v>0.85</v>
      </c>
      <c r="C114">
        <v>0.03</v>
      </c>
      <c r="D114">
        <v>0</v>
      </c>
      <c r="E114">
        <f t="shared" si="5"/>
        <v>-1005.89</v>
      </c>
      <c r="F114">
        <f t="shared" si="6"/>
        <v>31.110000000000014</v>
      </c>
      <c r="G114">
        <f t="shared" si="8"/>
        <v>691.33333333333371</v>
      </c>
    </row>
    <row r="115" spans="1:7" x14ac:dyDescent="0.25">
      <c r="A115">
        <f t="shared" si="7"/>
        <v>-1230</v>
      </c>
      <c r="B115">
        <v>0.85</v>
      </c>
      <c r="C115">
        <v>0.03</v>
      </c>
      <c r="D115">
        <v>0</v>
      </c>
      <c r="E115">
        <f t="shared" si="5"/>
        <v>-1014.135</v>
      </c>
      <c r="F115">
        <f t="shared" si="6"/>
        <v>31.365000000000009</v>
      </c>
      <c r="G115">
        <f t="shared" si="8"/>
        <v>697.00000000000023</v>
      </c>
    </row>
    <row r="116" spans="1:7" x14ac:dyDescent="0.25">
      <c r="A116">
        <f t="shared" si="7"/>
        <v>-1240</v>
      </c>
      <c r="B116">
        <v>0.85</v>
      </c>
      <c r="C116">
        <v>0.03</v>
      </c>
      <c r="D116">
        <v>0</v>
      </c>
      <c r="E116">
        <f t="shared" si="5"/>
        <v>-1022.38</v>
      </c>
      <c r="F116">
        <f t="shared" si="6"/>
        <v>31.620000000000005</v>
      </c>
      <c r="G116">
        <f t="shared" si="8"/>
        <v>702.66666666666674</v>
      </c>
    </row>
    <row r="117" spans="1:7" x14ac:dyDescent="0.25">
      <c r="A117">
        <f t="shared" si="7"/>
        <v>-1250</v>
      </c>
      <c r="B117">
        <v>0.85</v>
      </c>
      <c r="C117">
        <v>0.03</v>
      </c>
      <c r="D117">
        <v>0</v>
      </c>
      <c r="E117">
        <f t="shared" si="5"/>
        <v>-1030.625</v>
      </c>
      <c r="F117">
        <f t="shared" si="6"/>
        <v>31.875</v>
      </c>
      <c r="G117">
        <f t="shared" si="8"/>
        <v>708.33333333333337</v>
      </c>
    </row>
    <row r="118" spans="1:7" x14ac:dyDescent="0.25">
      <c r="A118">
        <f t="shared" si="7"/>
        <v>-1260</v>
      </c>
      <c r="B118">
        <v>0.85</v>
      </c>
      <c r="C118">
        <v>0.03</v>
      </c>
      <c r="D118">
        <v>0</v>
      </c>
      <c r="E118">
        <f t="shared" si="5"/>
        <v>-1038.8699999999999</v>
      </c>
      <c r="F118">
        <f t="shared" si="6"/>
        <v>32.130000000000109</v>
      </c>
      <c r="G118">
        <f t="shared" si="8"/>
        <v>714.0000000000025</v>
      </c>
    </row>
    <row r="119" spans="1:7" x14ac:dyDescent="0.25">
      <c r="A119">
        <f t="shared" si="7"/>
        <v>-1270</v>
      </c>
      <c r="B119">
        <v>0.85</v>
      </c>
      <c r="C119">
        <v>0.03</v>
      </c>
      <c r="D119">
        <v>0</v>
      </c>
      <c r="E119">
        <f t="shared" si="5"/>
        <v>-1047.115</v>
      </c>
      <c r="F119">
        <f t="shared" si="6"/>
        <v>32.384999999999991</v>
      </c>
      <c r="G119">
        <f t="shared" si="8"/>
        <v>719.66666666666652</v>
      </c>
    </row>
    <row r="120" spans="1:7" x14ac:dyDescent="0.25">
      <c r="A120">
        <f t="shared" si="7"/>
        <v>-1280</v>
      </c>
      <c r="B120">
        <v>0.85</v>
      </c>
      <c r="C120">
        <v>0.03</v>
      </c>
      <c r="D120">
        <v>0</v>
      </c>
      <c r="E120">
        <f t="shared" si="5"/>
        <v>-1055.3599999999999</v>
      </c>
      <c r="F120">
        <f t="shared" si="6"/>
        <v>32.6400000000001</v>
      </c>
      <c r="G120">
        <f t="shared" si="8"/>
        <v>725.33333333333553</v>
      </c>
    </row>
    <row r="121" spans="1:7" x14ac:dyDescent="0.25">
      <c r="A121">
        <f t="shared" si="7"/>
        <v>-1290</v>
      </c>
      <c r="B121">
        <v>0.85</v>
      </c>
      <c r="C121">
        <v>0.03</v>
      </c>
      <c r="D121">
        <v>0</v>
      </c>
      <c r="E121">
        <f t="shared" si="5"/>
        <v>-1063.605</v>
      </c>
      <c r="F121">
        <f t="shared" si="6"/>
        <v>32.894999999999982</v>
      </c>
      <c r="G121">
        <f t="shared" si="8"/>
        <v>730.99999999999966</v>
      </c>
    </row>
    <row r="122" spans="1:7" x14ac:dyDescent="0.25">
      <c r="A122">
        <f t="shared" si="7"/>
        <v>-1300</v>
      </c>
      <c r="B122">
        <v>0.85</v>
      </c>
      <c r="C122">
        <v>0.03</v>
      </c>
      <c r="D122">
        <v>0</v>
      </c>
      <c r="E122">
        <f t="shared" si="5"/>
        <v>-1071.8499999999999</v>
      </c>
      <c r="F122">
        <f t="shared" si="6"/>
        <v>33.150000000000091</v>
      </c>
      <c r="G122">
        <f t="shared" si="8"/>
        <v>736.66666666666868</v>
      </c>
    </row>
    <row r="123" spans="1:7" x14ac:dyDescent="0.25">
      <c r="A123">
        <f t="shared" si="7"/>
        <v>-1310</v>
      </c>
      <c r="B123">
        <v>0.85</v>
      </c>
      <c r="C123">
        <v>0.03</v>
      </c>
      <c r="D123">
        <v>0</v>
      </c>
      <c r="E123">
        <f t="shared" si="5"/>
        <v>-1080.095</v>
      </c>
      <c r="F123">
        <f t="shared" si="6"/>
        <v>33.404999999999973</v>
      </c>
      <c r="G123">
        <f t="shared" si="8"/>
        <v>742.3333333333328</v>
      </c>
    </row>
    <row r="124" spans="1:7" x14ac:dyDescent="0.25">
      <c r="A124">
        <f t="shared" si="7"/>
        <v>-1320</v>
      </c>
      <c r="B124">
        <v>0.85</v>
      </c>
      <c r="C124">
        <v>0.03</v>
      </c>
      <c r="D124">
        <v>0</v>
      </c>
      <c r="E124">
        <f t="shared" si="5"/>
        <v>-1088.3399999999999</v>
      </c>
      <c r="F124">
        <f t="shared" si="6"/>
        <v>33.660000000000082</v>
      </c>
      <c r="G124">
        <f t="shared" si="8"/>
        <v>748.00000000000182</v>
      </c>
    </row>
    <row r="125" spans="1:7" x14ac:dyDescent="0.25">
      <c r="A125">
        <f t="shared" si="7"/>
        <v>-1330</v>
      </c>
      <c r="B125">
        <v>0.85</v>
      </c>
      <c r="C125">
        <v>0.03</v>
      </c>
      <c r="D125">
        <v>0</v>
      </c>
      <c r="E125">
        <f t="shared" si="5"/>
        <v>-1096.585</v>
      </c>
      <c r="F125">
        <f t="shared" si="6"/>
        <v>33.914999999999964</v>
      </c>
      <c r="G125">
        <f t="shared" si="8"/>
        <v>753.66666666666583</v>
      </c>
    </row>
    <row r="126" spans="1:7" x14ac:dyDescent="0.25">
      <c r="A126">
        <f t="shared" si="7"/>
        <v>-1340</v>
      </c>
      <c r="B126">
        <v>0.85</v>
      </c>
      <c r="C126">
        <v>0.03</v>
      </c>
      <c r="D126">
        <v>0</v>
      </c>
      <c r="E126">
        <f t="shared" si="5"/>
        <v>-1104.83</v>
      </c>
      <c r="F126">
        <f t="shared" si="6"/>
        <v>34.170000000000073</v>
      </c>
      <c r="G126">
        <f t="shared" si="8"/>
        <v>759.33333333333496</v>
      </c>
    </row>
    <row r="127" spans="1:7" x14ac:dyDescent="0.25">
      <c r="A127">
        <f t="shared" si="7"/>
        <v>-1350</v>
      </c>
      <c r="B127">
        <v>0.85</v>
      </c>
      <c r="C127">
        <v>0.03</v>
      </c>
      <c r="D127">
        <v>0</v>
      </c>
      <c r="E127">
        <f t="shared" si="5"/>
        <v>-1113.075</v>
      </c>
      <c r="F127">
        <f t="shared" si="6"/>
        <v>34.424999999999955</v>
      </c>
      <c r="G127">
        <f t="shared" si="8"/>
        <v>764.99999999999898</v>
      </c>
    </row>
    <row r="128" spans="1:7" x14ac:dyDescent="0.25">
      <c r="A128">
        <f t="shared" si="7"/>
        <v>-1360</v>
      </c>
      <c r="B128">
        <v>0.85</v>
      </c>
      <c r="C128">
        <v>0.03</v>
      </c>
      <c r="D128">
        <v>0</v>
      </c>
      <c r="E128">
        <f t="shared" si="5"/>
        <v>-1121.32</v>
      </c>
      <c r="F128">
        <f t="shared" si="6"/>
        <v>34.680000000000064</v>
      </c>
      <c r="G128">
        <f t="shared" si="8"/>
        <v>770.66666666666811</v>
      </c>
    </row>
    <row r="129" spans="1:7" x14ac:dyDescent="0.25">
      <c r="A129">
        <f t="shared" si="7"/>
        <v>-1370</v>
      </c>
      <c r="B129">
        <v>0.85</v>
      </c>
      <c r="C129">
        <v>0.03</v>
      </c>
      <c r="D129">
        <v>0</v>
      </c>
      <c r="E129">
        <f t="shared" si="5"/>
        <v>-1129.5650000000001</v>
      </c>
      <c r="F129">
        <f t="shared" si="6"/>
        <v>34.934999999999945</v>
      </c>
      <c r="G129">
        <f t="shared" si="8"/>
        <v>776.33333333333212</v>
      </c>
    </row>
    <row r="130" spans="1:7" x14ac:dyDescent="0.25">
      <c r="A130">
        <f t="shared" si="7"/>
        <v>-1380</v>
      </c>
      <c r="B130">
        <v>0.85</v>
      </c>
      <c r="C130">
        <v>0.03</v>
      </c>
      <c r="D130">
        <v>0</v>
      </c>
      <c r="E130">
        <f t="shared" si="5"/>
        <v>-1137.81</v>
      </c>
      <c r="F130">
        <f t="shared" si="6"/>
        <v>35.190000000000055</v>
      </c>
      <c r="G130">
        <f t="shared" si="8"/>
        <v>782.00000000000125</v>
      </c>
    </row>
    <row r="131" spans="1:7" x14ac:dyDescent="0.25">
      <c r="A131">
        <f t="shared" si="7"/>
        <v>-1390</v>
      </c>
      <c r="B131">
        <v>0.85</v>
      </c>
      <c r="C131">
        <v>0.03</v>
      </c>
      <c r="D131">
        <v>0</v>
      </c>
      <c r="E131">
        <f t="shared" ref="E131:E194" si="9">(A131*B131+D131)*(1-C131)</f>
        <v>-1146.0550000000001</v>
      </c>
      <c r="F131">
        <f t="shared" ref="F131:F194" si="10">-(A131*B131-E131)</f>
        <v>35.444999999999936</v>
      </c>
      <c r="G131">
        <f t="shared" si="8"/>
        <v>787.66666666666526</v>
      </c>
    </row>
    <row r="132" spans="1:7" x14ac:dyDescent="0.25">
      <c r="A132">
        <f t="shared" ref="A132:A195" si="11">A131-10</f>
        <v>-1400</v>
      </c>
      <c r="B132">
        <v>0.85</v>
      </c>
      <c r="C132">
        <v>0.03</v>
      </c>
      <c r="D132">
        <v>0</v>
      </c>
      <c r="E132">
        <f t="shared" si="9"/>
        <v>-1154.3</v>
      </c>
      <c r="F132">
        <f t="shared" si="10"/>
        <v>35.700000000000045</v>
      </c>
      <c r="G132">
        <f t="shared" si="8"/>
        <v>793.33333333333439</v>
      </c>
    </row>
    <row r="133" spans="1:7" x14ac:dyDescent="0.25">
      <c r="A133">
        <f t="shared" si="11"/>
        <v>-1410</v>
      </c>
      <c r="B133">
        <v>0.85</v>
      </c>
      <c r="C133">
        <v>0.03</v>
      </c>
      <c r="D133">
        <v>0</v>
      </c>
      <c r="E133">
        <f t="shared" si="9"/>
        <v>-1162.5450000000001</v>
      </c>
      <c r="F133">
        <f t="shared" si="10"/>
        <v>35.954999999999927</v>
      </c>
      <c r="G133">
        <f t="shared" si="8"/>
        <v>798.99999999999841</v>
      </c>
    </row>
    <row r="134" spans="1:7" x14ac:dyDescent="0.25">
      <c r="A134">
        <f t="shared" si="11"/>
        <v>-1420</v>
      </c>
      <c r="B134">
        <v>0.85</v>
      </c>
      <c r="C134">
        <v>0.03</v>
      </c>
      <c r="D134">
        <v>0</v>
      </c>
      <c r="E134">
        <f t="shared" si="9"/>
        <v>-1170.79</v>
      </c>
      <c r="F134">
        <f t="shared" si="10"/>
        <v>36.210000000000036</v>
      </c>
      <c r="G134">
        <f t="shared" si="8"/>
        <v>804.66666666666754</v>
      </c>
    </row>
    <row r="135" spans="1:7" x14ac:dyDescent="0.25">
      <c r="A135">
        <f t="shared" si="11"/>
        <v>-1430</v>
      </c>
      <c r="B135">
        <v>0.85</v>
      </c>
      <c r="C135">
        <v>0.03</v>
      </c>
      <c r="D135">
        <v>0</v>
      </c>
      <c r="E135">
        <f t="shared" si="9"/>
        <v>-1179.0349999999999</v>
      </c>
      <c r="F135">
        <f t="shared" si="10"/>
        <v>36.465000000000146</v>
      </c>
      <c r="G135">
        <f t="shared" si="8"/>
        <v>810.33333333333655</v>
      </c>
    </row>
    <row r="136" spans="1:7" x14ac:dyDescent="0.25">
      <c r="A136">
        <f t="shared" si="11"/>
        <v>-1440</v>
      </c>
      <c r="B136">
        <v>0.85</v>
      </c>
      <c r="C136">
        <v>0.03</v>
      </c>
      <c r="D136">
        <v>0</v>
      </c>
      <c r="E136">
        <f t="shared" si="9"/>
        <v>-1187.28</v>
      </c>
      <c r="F136">
        <f t="shared" si="10"/>
        <v>36.720000000000027</v>
      </c>
      <c r="G136">
        <f t="shared" si="8"/>
        <v>816.00000000000068</v>
      </c>
    </row>
    <row r="137" spans="1:7" x14ac:dyDescent="0.25">
      <c r="A137">
        <f t="shared" si="11"/>
        <v>-1450</v>
      </c>
      <c r="B137">
        <v>0.85</v>
      </c>
      <c r="C137">
        <v>0.03</v>
      </c>
      <c r="D137">
        <v>0</v>
      </c>
      <c r="E137">
        <f t="shared" si="9"/>
        <v>-1195.5249999999999</v>
      </c>
      <c r="F137">
        <f t="shared" si="10"/>
        <v>36.975000000000136</v>
      </c>
      <c r="G137">
        <f t="shared" si="8"/>
        <v>821.6666666666697</v>
      </c>
    </row>
    <row r="138" spans="1:7" x14ac:dyDescent="0.25">
      <c r="A138">
        <f t="shared" si="11"/>
        <v>-1460</v>
      </c>
      <c r="B138">
        <v>0.85</v>
      </c>
      <c r="C138">
        <v>0.03</v>
      </c>
      <c r="D138">
        <v>0</v>
      </c>
      <c r="E138">
        <f t="shared" si="9"/>
        <v>-1203.77</v>
      </c>
      <c r="F138">
        <f t="shared" si="10"/>
        <v>37.230000000000018</v>
      </c>
      <c r="G138">
        <f t="shared" si="8"/>
        <v>827.33333333333371</v>
      </c>
    </row>
    <row r="139" spans="1:7" x14ac:dyDescent="0.25">
      <c r="A139">
        <f t="shared" si="11"/>
        <v>-1470</v>
      </c>
      <c r="B139">
        <v>0.85</v>
      </c>
      <c r="C139">
        <v>0.03</v>
      </c>
      <c r="D139">
        <v>0</v>
      </c>
      <c r="E139">
        <f t="shared" si="9"/>
        <v>-1212.0149999999999</v>
      </c>
      <c r="F139">
        <f t="shared" si="10"/>
        <v>37.485000000000127</v>
      </c>
      <c r="G139">
        <f t="shared" si="8"/>
        <v>833.00000000000284</v>
      </c>
    </row>
    <row r="140" spans="1:7" x14ac:dyDescent="0.25">
      <c r="A140">
        <f t="shared" si="11"/>
        <v>-1480</v>
      </c>
      <c r="B140">
        <v>0.85</v>
      </c>
      <c r="C140">
        <v>0.03</v>
      </c>
      <c r="D140">
        <v>0</v>
      </c>
      <c r="E140">
        <f t="shared" si="9"/>
        <v>-1220.26</v>
      </c>
      <c r="F140">
        <f t="shared" si="10"/>
        <v>37.740000000000009</v>
      </c>
      <c r="G140">
        <f t="shared" si="8"/>
        <v>838.66666666666686</v>
      </c>
    </row>
    <row r="141" spans="1:7" x14ac:dyDescent="0.25">
      <c r="A141">
        <f t="shared" si="11"/>
        <v>-1490</v>
      </c>
      <c r="B141">
        <v>0.85</v>
      </c>
      <c r="C141">
        <v>0.03</v>
      </c>
      <c r="D141">
        <v>0</v>
      </c>
      <c r="E141">
        <f t="shared" si="9"/>
        <v>-1228.5049999999999</v>
      </c>
      <c r="F141">
        <f t="shared" si="10"/>
        <v>37.995000000000118</v>
      </c>
      <c r="G141">
        <f t="shared" si="8"/>
        <v>844.33333333333599</v>
      </c>
    </row>
    <row r="142" spans="1:7" x14ac:dyDescent="0.25">
      <c r="A142">
        <f t="shared" si="11"/>
        <v>-1500</v>
      </c>
      <c r="B142">
        <v>0.85</v>
      </c>
      <c r="C142">
        <v>0.03</v>
      </c>
      <c r="D142">
        <v>0</v>
      </c>
      <c r="E142">
        <f t="shared" si="9"/>
        <v>-1236.75</v>
      </c>
      <c r="F142">
        <f t="shared" si="10"/>
        <v>38.25</v>
      </c>
      <c r="G142">
        <f t="shared" si="8"/>
        <v>850</v>
      </c>
    </row>
    <row r="143" spans="1:7" x14ac:dyDescent="0.25">
      <c r="A143">
        <f t="shared" si="11"/>
        <v>-1510</v>
      </c>
      <c r="B143">
        <v>0.85</v>
      </c>
      <c r="C143">
        <v>0.03</v>
      </c>
      <c r="D143">
        <v>0</v>
      </c>
      <c r="E143">
        <f t="shared" si="9"/>
        <v>-1244.9949999999999</v>
      </c>
      <c r="F143">
        <f t="shared" si="10"/>
        <v>38.505000000000109</v>
      </c>
      <c r="G143">
        <f t="shared" si="8"/>
        <v>855.66666666666913</v>
      </c>
    </row>
    <row r="144" spans="1:7" x14ac:dyDescent="0.25">
      <c r="A144">
        <f t="shared" si="11"/>
        <v>-1520</v>
      </c>
      <c r="B144">
        <v>0.85</v>
      </c>
      <c r="C144">
        <v>0.03</v>
      </c>
      <c r="D144">
        <v>0</v>
      </c>
      <c r="E144">
        <f t="shared" si="9"/>
        <v>-1253.24</v>
      </c>
      <c r="F144">
        <f t="shared" si="10"/>
        <v>38.759999999999991</v>
      </c>
      <c r="G144">
        <f t="shared" si="8"/>
        <v>861.33333333333314</v>
      </c>
    </row>
    <row r="145" spans="1:7" x14ac:dyDescent="0.25">
      <c r="A145">
        <f t="shared" si="11"/>
        <v>-1530</v>
      </c>
      <c r="B145">
        <v>0.85</v>
      </c>
      <c r="C145">
        <v>0.03</v>
      </c>
      <c r="D145">
        <v>0</v>
      </c>
      <c r="E145">
        <f t="shared" si="9"/>
        <v>-1261.4849999999999</v>
      </c>
      <c r="F145">
        <f t="shared" si="10"/>
        <v>39.0150000000001</v>
      </c>
      <c r="G145">
        <f t="shared" si="8"/>
        <v>867.00000000000227</v>
      </c>
    </row>
    <row r="146" spans="1:7" x14ac:dyDescent="0.25">
      <c r="A146">
        <f t="shared" si="11"/>
        <v>-1540</v>
      </c>
      <c r="B146">
        <v>0.85</v>
      </c>
      <c r="C146">
        <v>0.03</v>
      </c>
      <c r="D146">
        <v>0</v>
      </c>
      <c r="E146">
        <f t="shared" si="9"/>
        <v>-1269.73</v>
      </c>
      <c r="F146">
        <f t="shared" si="10"/>
        <v>39.269999999999982</v>
      </c>
      <c r="G146">
        <f t="shared" si="8"/>
        <v>872.66666666666629</v>
      </c>
    </row>
    <row r="147" spans="1:7" x14ac:dyDescent="0.25">
      <c r="A147">
        <f t="shared" si="11"/>
        <v>-1550</v>
      </c>
      <c r="B147">
        <v>0.85</v>
      </c>
      <c r="C147">
        <v>0.03</v>
      </c>
      <c r="D147">
        <v>0</v>
      </c>
      <c r="E147">
        <f t="shared" si="9"/>
        <v>-1277.9749999999999</v>
      </c>
      <c r="F147">
        <f t="shared" si="10"/>
        <v>39.525000000000091</v>
      </c>
      <c r="G147">
        <f t="shared" si="8"/>
        <v>878.33333333333542</v>
      </c>
    </row>
    <row r="148" spans="1:7" x14ac:dyDescent="0.25">
      <c r="A148">
        <f t="shared" si="11"/>
        <v>-1560</v>
      </c>
      <c r="B148">
        <v>0.85</v>
      </c>
      <c r="C148">
        <v>0.03</v>
      </c>
      <c r="D148">
        <v>0</v>
      </c>
      <c r="E148">
        <f t="shared" si="9"/>
        <v>-1286.22</v>
      </c>
      <c r="F148">
        <f t="shared" si="10"/>
        <v>39.779999999999973</v>
      </c>
      <c r="G148">
        <f t="shared" si="8"/>
        <v>883.99999999999943</v>
      </c>
    </row>
    <row r="149" spans="1:7" x14ac:dyDescent="0.25">
      <c r="A149">
        <f t="shared" si="11"/>
        <v>-1570</v>
      </c>
      <c r="B149">
        <v>0.85</v>
      </c>
      <c r="C149">
        <v>0.03</v>
      </c>
      <c r="D149">
        <v>0</v>
      </c>
      <c r="E149">
        <f t="shared" si="9"/>
        <v>-1294.4649999999999</v>
      </c>
      <c r="F149">
        <f t="shared" si="10"/>
        <v>40.035000000000082</v>
      </c>
      <c r="G149">
        <f t="shared" si="8"/>
        <v>889.66666666666856</v>
      </c>
    </row>
    <row r="150" spans="1:7" x14ac:dyDescent="0.25">
      <c r="A150">
        <f t="shared" si="11"/>
        <v>-1580</v>
      </c>
      <c r="B150">
        <v>0.85</v>
      </c>
      <c r="C150">
        <v>0.03</v>
      </c>
      <c r="D150">
        <v>0</v>
      </c>
      <c r="E150">
        <f t="shared" si="9"/>
        <v>-1302.71</v>
      </c>
      <c r="F150">
        <f t="shared" si="10"/>
        <v>40.289999999999964</v>
      </c>
      <c r="G150">
        <f t="shared" si="8"/>
        <v>895.33333333333258</v>
      </c>
    </row>
    <row r="151" spans="1:7" x14ac:dyDescent="0.25">
      <c r="A151">
        <f t="shared" si="11"/>
        <v>-1590</v>
      </c>
      <c r="B151">
        <v>0.85</v>
      </c>
      <c r="C151">
        <v>0.03</v>
      </c>
      <c r="D151">
        <v>0</v>
      </c>
      <c r="E151">
        <f t="shared" si="9"/>
        <v>-1310.9549999999999</v>
      </c>
      <c r="F151">
        <f t="shared" si="10"/>
        <v>40.545000000000073</v>
      </c>
      <c r="G151">
        <f t="shared" si="8"/>
        <v>901.00000000000171</v>
      </c>
    </row>
    <row r="152" spans="1:7" x14ac:dyDescent="0.25">
      <c r="A152">
        <f t="shared" si="11"/>
        <v>-1600</v>
      </c>
      <c r="B152">
        <v>0.85</v>
      </c>
      <c r="C152">
        <v>0.03</v>
      </c>
      <c r="D152">
        <v>0</v>
      </c>
      <c r="E152">
        <f t="shared" si="9"/>
        <v>-1319.2</v>
      </c>
      <c r="F152">
        <f t="shared" si="10"/>
        <v>40.799999999999955</v>
      </c>
      <c r="G152">
        <f t="shared" si="8"/>
        <v>906.66666666666572</v>
      </c>
    </row>
    <row r="153" spans="1:7" x14ac:dyDescent="0.25">
      <c r="A153">
        <f t="shared" si="11"/>
        <v>-1610</v>
      </c>
      <c r="B153">
        <v>0.85</v>
      </c>
      <c r="C153">
        <v>0.03</v>
      </c>
      <c r="D153">
        <v>0</v>
      </c>
      <c r="E153">
        <f t="shared" si="9"/>
        <v>-1327.4449999999999</v>
      </c>
      <c r="F153">
        <f t="shared" si="10"/>
        <v>41.055000000000064</v>
      </c>
      <c r="G153">
        <f t="shared" si="8"/>
        <v>912.33333333333474</v>
      </c>
    </row>
    <row r="154" spans="1:7" x14ac:dyDescent="0.25">
      <c r="A154">
        <f t="shared" si="11"/>
        <v>-1620</v>
      </c>
      <c r="B154">
        <v>0.85</v>
      </c>
      <c r="C154">
        <v>0.03</v>
      </c>
      <c r="D154">
        <v>0</v>
      </c>
      <c r="E154">
        <f t="shared" si="9"/>
        <v>-1335.69</v>
      </c>
      <c r="F154">
        <f t="shared" si="10"/>
        <v>41.309999999999945</v>
      </c>
      <c r="G154">
        <f t="shared" si="8"/>
        <v>917.99999999999886</v>
      </c>
    </row>
    <row r="155" spans="1:7" x14ac:dyDescent="0.25">
      <c r="A155">
        <f t="shared" si="11"/>
        <v>-1630</v>
      </c>
      <c r="B155">
        <v>0.85</v>
      </c>
      <c r="C155">
        <v>0.03</v>
      </c>
      <c r="D155">
        <v>0</v>
      </c>
      <c r="E155">
        <f t="shared" si="9"/>
        <v>-1343.9349999999999</v>
      </c>
      <c r="F155">
        <f t="shared" si="10"/>
        <v>41.565000000000055</v>
      </c>
      <c r="G155">
        <f t="shared" si="8"/>
        <v>923.66666666666788</v>
      </c>
    </row>
    <row r="156" spans="1:7" x14ac:dyDescent="0.25">
      <c r="A156">
        <f t="shared" si="11"/>
        <v>-1640</v>
      </c>
      <c r="B156">
        <v>0.85</v>
      </c>
      <c r="C156">
        <v>0.03</v>
      </c>
      <c r="D156">
        <v>0</v>
      </c>
      <c r="E156">
        <f t="shared" si="9"/>
        <v>-1352.18</v>
      </c>
      <c r="F156">
        <f t="shared" si="10"/>
        <v>41.819999999999936</v>
      </c>
      <c r="G156">
        <f t="shared" si="8"/>
        <v>929.33333333333201</v>
      </c>
    </row>
    <row r="157" spans="1:7" x14ac:dyDescent="0.25">
      <c r="A157">
        <f t="shared" si="11"/>
        <v>-1650</v>
      </c>
      <c r="B157">
        <v>0.85</v>
      </c>
      <c r="C157">
        <v>0.03</v>
      </c>
      <c r="D157">
        <v>0</v>
      </c>
      <c r="E157">
        <f t="shared" si="9"/>
        <v>-1360.425</v>
      </c>
      <c r="F157">
        <f t="shared" si="10"/>
        <v>42.075000000000045</v>
      </c>
      <c r="G157">
        <f t="shared" si="8"/>
        <v>935.00000000000102</v>
      </c>
    </row>
    <row r="158" spans="1:7" x14ac:dyDescent="0.25">
      <c r="A158">
        <f t="shared" si="11"/>
        <v>-1660</v>
      </c>
      <c r="B158">
        <v>0.85</v>
      </c>
      <c r="C158">
        <v>0.03</v>
      </c>
      <c r="D158">
        <v>0</v>
      </c>
      <c r="E158">
        <f t="shared" si="9"/>
        <v>-1368.67</v>
      </c>
      <c r="F158">
        <f t="shared" si="10"/>
        <v>42.329999999999927</v>
      </c>
      <c r="G158">
        <f t="shared" si="8"/>
        <v>940.66666666666504</v>
      </c>
    </row>
    <row r="159" spans="1:7" x14ac:dyDescent="0.25">
      <c r="A159">
        <f t="shared" si="11"/>
        <v>-1670</v>
      </c>
      <c r="B159">
        <v>0.85</v>
      </c>
      <c r="C159">
        <v>0.03</v>
      </c>
      <c r="D159">
        <v>0</v>
      </c>
      <c r="E159">
        <f t="shared" si="9"/>
        <v>-1376.915</v>
      </c>
      <c r="F159">
        <f t="shared" si="10"/>
        <v>42.585000000000036</v>
      </c>
      <c r="G159">
        <f t="shared" ref="G159:G222" si="12">F159*2/0.09</f>
        <v>946.33333333333417</v>
      </c>
    </row>
    <row r="160" spans="1:7" x14ac:dyDescent="0.25">
      <c r="A160">
        <f t="shared" si="11"/>
        <v>-1680</v>
      </c>
      <c r="B160">
        <v>0.85</v>
      </c>
      <c r="C160">
        <v>0.03</v>
      </c>
      <c r="D160">
        <v>0</v>
      </c>
      <c r="E160">
        <f t="shared" si="9"/>
        <v>-1385.1599999999999</v>
      </c>
      <c r="F160">
        <f t="shared" si="10"/>
        <v>42.840000000000146</v>
      </c>
      <c r="G160">
        <f t="shared" si="12"/>
        <v>952.0000000000033</v>
      </c>
    </row>
    <row r="161" spans="1:7" x14ac:dyDescent="0.25">
      <c r="A161">
        <f t="shared" si="11"/>
        <v>-1690</v>
      </c>
      <c r="B161">
        <v>0.85</v>
      </c>
      <c r="C161">
        <v>0.03</v>
      </c>
      <c r="D161">
        <v>0</v>
      </c>
      <c r="E161">
        <f t="shared" si="9"/>
        <v>-1393.405</v>
      </c>
      <c r="F161">
        <f t="shared" si="10"/>
        <v>43.095000000000027</v>
      </c>
      <c r="G161">
        <f t="shared" si="12"/>
        <v>957.66666666666731</v>
      </c>
    </row>
    <row r="162" spans="1:7" x14ac:dyDescent="0.25">
      <c r="A162">
        <f t="shared" si="11"/>
        <v>-1700</v>
      </c>
      <c r="B162">
        <v>0.85</v>
      </c>
      <c r="C162">
        <v>0.03</v>
      </c>
      <c r="D162">
        <v>0</v>
      </c>
      <c r="E162">
        <f t="shared" si="9"/>
        <v>-1401.6499999999999</v>
      </c>
      <c r="F162">
        <f t="shared" si="10"/>
        <v>43.350000000000136</v>
      </c>
      <c r="G162">
        <f t="shared" si="12"/>
        <v>963.33333333333644</v>
      </c>
    </row>
    <row r="163" spans="1:7" x14ac:dyDescent="0.25">
      <c r="A163">
        <f t="shared" si="11"/>
        <v>-1710</v>
      </c>
      <c r="B163">
        <v>0.85</v>
      </c>
      <c r="C163">
        <v>0.03</v>
      </c>
      <c r="D163">
        <v>0</v>
      </c>
      <c r="E163">
        <f t="shared" si="9"/>
        <v>-1409.895</v>
      </c>
      <c r="F163">
        <f t="shared" si="10"/>
        <v>43.605000000000018</v>
      </c>
      <c r="G163">
        <f t="shared" si="12"/>
        <v>969.00000000000045</v>
      </c>
    </row>
    <row r="164" spans="1:7" x14ac:dyDescent="0.25">
      <c r="A164">
        <f t="shared" si="11"/>
        <v>-1720</v>
      </c>
      <c r="B164">
        <v>0.85</v>
      </c>
      <c r="C164">
        <v>0.03</v>
      </c>
      <c r="D164">
        <v>0</v>
      </c>
      <c r="E164">
        <f t="shared" si="9"/>
        <v>-1418.1399999999999</v>
      </c>
      <c r="F164">
        <f t="shared" si="10"/>
        <v>43.860000000000127</v>
      </c>
      <c r="G164">
        <f t="shared" si="12"/>
        <v>974.66666666666958</v>
      </c>
    </row>
    <row r="165" spans="1:7" x14ac:dyDescent="0.25">
      <c r="A165">
        <f t="shared" si="11"/>
        <v>-1730</v>
      </c>
      <c r="B165">
        <v>0.85</v>
      </c>
      <c r="C165">
        <v>0.03</v>
      </c>
      <c r="D165">
        <v>0</v>
      </c>
      <c r="E165">
        <f t="shared" si="9"/>
        <v>-1426.385</v>
      </c>
      <c r="F165">
        <f t="shared" si="10"/>
        <v>44.115000000000009</v>
      </c>
      <c r="G165">
        <f t="shared" si="12"/>
        <v>980.3333333333336</v>
      </c>
    </row>
    <row r="166" spans="1:7" x14ac:dyDescent="0.25">
      <c r="A166">
        <f t="shared" si="11"/>
        <v>-1740</v>
      </c>
      <c r="B166">
        <v>0.85</v>
      </c>
      <c r="C166">
        <v>0.03</v>
      </c>
      <c r="D166">
        <v>0</v>
      </c>
      <c r="E166">
        <f t="shared" si="9"/>
        <v>-1434.6299999999999</v>
      </c>
      <c r="F166">
        <f t="shared" si="10"/>
        <v>44.370000000000118</v>
      </c>
      <c r="G166">
        <f t="shared" si="12"/>
        <v>986.00000000000261</v>
      </c>
    </row>
    <row r="167" spans="1:7" x14ac:dyDescent="0.25">
      <c r="A167">
        <f t="shared" si="11"/>
        <v>-1750</v>
      </c>
      <c r="B167">
        <v>0.85</v>
      </c>
      <c r="C167">
        <v>0.03</v>
      </c>
      <c r="D167">
        <v>0</v>
      </c>
      <c r="E167">
        <f t="shared" si="9"/>
        <v>-1442.875</v>
      </c>
      <c r="F167">
        <f t="shared" si="10"/>
        <v>44.625</v>
      </c>
      <c r="G167">
        <f t="shared" si="12"/>
        <v>991.66666666666674</v>
      </c>
    </row>
    <row r="168" spans="1:7" x14ac:dyDescent="0.25">
      <c r="A168">
        <f t="shared" si="11"/>
        <v>-1760</v>
      </c>
      <c r="B168">
        <v>0.85</v>
      </c>
      <c r="C168">
        <v>0.03</v>
      </c>
      <c r="D168">
        <v>0</v>
      </c>
      <c r="E168">
        <f t="shared" si="9"/>
        <v>-1451.12</v>
      </c>
      <c r="F168">
        <f t="shared" si="10"/>
        <v>44.880000000000109</v>
      </c>
      <c r="G168">
        <f t="shared" si="12"/>
        <v>997.33333333333576</v>
      </c>
    </row>
    <row r="169" spans="1:7" x14ac:dyDescent="0.25">
      <c r="A169">
        <f t="shared" si="11"/>
        <v>-1770</v>
      </c>
      <c r="B169">
        <v>0.85</v>
      </c>
      <c r="C169">
        <v>0.03</v>
      </c>
      <c r="D169">
        <v>0</v>
      </c>
      <c r="E169">
        <f t="shared" si="9"/>
        <v>-1459.365</v>
      </c>
      <c r="F169">
        <f t="shared" si="10"/>
        <v>45.134999999999991</v>
      </c>
      <c r="G169">
        <f t="shared" si="12"/>
        <v>1002.9999999999999</v>
      </c>
    </row>
    <row r="170" spans="1:7" x14ac:dyDescent="0.25">
      <c r="A170">
        <f t="shared" si="11"/>
        <v>-1780</v>
      </c>
      <c r="B170">
        <v>0.85</v>
      </c>
      <c r="C170">
        <v>0.03</v>
      </c>
      <c r="D170">
        <v>0</v>
      </c>
      <c r="E170">
        <f t="shared" si="9"/>
        <v>-1467.61</v>
      </c>
      <c r="F170">
        <f t="shared" si="10"/>
        <v>45.3900000000001</v>
      </c>
      <c r="G170">
        <f t="shared" si="12"/>
        <v>1008.6666666666689</v>
      </c>
    </row>
    <row r="171" spans="1:7" x14ac:dyDescent="0.25">
      <c r="A171">
        <f t="shared" si="11"/>
        <v>-1790</v>
      </c>
      <c r="B171">
        <v>0.85</v>
      </c>
      <c r="C171">
        <v>0.03</v>
      </c>
      <c r="D171">
        <v>0</v>
      </c>
      <c r="E171">
        <f t="shared" si="9"/>
        <v>-1475.855</v>
      </c>
      <c r="F171">
        <f t="shared" si="10"/>
        <v>45.644999999999982</v>
      </c>
      <c r="G171">
        <f t="shared" si="12"/>
        <v>1014.3333333333329</v>
      </c>
    </row>
    <row r="172" spans="1:7" x14ac:dyDescent="0.25">
      <c r="A172">
        <f t="shared" si="11"/>
        <v>-1800</v>
      </c>
      <c r="B172">
        <v>0.85</v>
      </c>
      <c r="C172">
        <v>0.03</v>
      </c>
      <c r="D172">
        <v>0</v>
      </c>
      <c r="E172">
        <f t="shared" si="9"/>
        <v>-1484.1</v>
      </c>
      <c r="F172">
        <f t="shared" si="10"/>
        <v>45.900000000000091</v>
      </c>
      <c r="G172">
        <f t="shared" si="12"/>
        <v>1020.000000000002</v>
      </c>
    </row>
    <row r="173" spans="1:7" x14ac:dyDescent="0.25">
      <c r="A173">
        <f t="shared" si="11"/>
        <v>-1810</v>
      </c>
      <c r="B173">
        <v>0.85</v>
      </c>
      <c r="C173">
        <v>0.03</v>
      </c>
      <c r="D173">
        <v>0</v>
      </c>
      <c r="E173">
        <f t="shared" si="9"/>
        <v>-1492.345</v>
      </c>
      <c r="F173">
        <f t="shared" si="10"/>
        <v>46.154999999999973</v>
      </c>
      <c r="G173">
        <f t="shared" si="12"/>
        <v>1025.6666666666661</v>
      </c>
    </row>
    <row r="174" spans="1:7" x14ac:dyDescent="0.25">
      <c r="A174">
        <f t="shared" si="11"/>
        <v>-1820</v>
      </c>
      <c r="B174">
        <v>0.85</v>
      </c>
      <c r="C174">
        <v>0.03</v>
      </c>
      <c r="D174">
        <v>0</v>
      </c>
      <c r="E174">
        <f t="shared" si="9"/>
        <v>-1500.59</v>
      </c>
      <c r="F174">
        <f t="shared" si="10"/>
        <v>46.410000000000082</v>
      </c>
      <c r="G174">
        <f t="shared" si="12"/>
        <v>1031.3333333333353</v>
      </c>
    </row>
    <row r="175" spans="1:7" x14ac:dyDescent="0.25">
      <c r="A175">
        <f t="shared" si="11"/>
        <v>-1830</v>
      </c>
      <c r="B175">
        <v>0.85</v>
      </c>
      <c r="C175">
        <v>0.03</v>
      </c>
      <c r="D175">
        <v>0</v>
      </c>
      <c r="E175">
        <f t="shared" si="9"/>
        <v>-1508.835</v>
      </c>
      <c r="F175">
        <f t="shared" si="10"/>
        <v>46.664999999999964</v>
      </c>
      <c r="G175">
        <f t="shared" si="12"/>
        <v>1036.9999999999993</v>
      </c>
    </row>
    <row r="176" spans="1:7" x14ac:dyDescent="0.25">
      <c r="A176">
        <f t="shared" si="11"/>
        <v>-1840</v>
      </c>
      <c r="B176">
        <v>0.85</v>
      </c>
      <c r="C176">
        <v>0.03</v>
      </c>
      <c r="D176">
        <v>0</v>
      </c>
      <c r="E176">
        <f t="shared" si="9"/>
        <v>-1517.08</v>
      </c>
      <c r="F176">
        <f t="shared" si="10"/>
        <v>46.920000000000073</v>
      </c>
      <c r="G176">
        <f t="shared" si="12"/>
        <v>1042.6666666666683</v>
      </c>
    </row>
    <row r="177" spans="1:7" x14ac:dyDescent="0.25">
      <c r="A177">
        <f t="shared" si="11"/>
        <v>-1850</v>
      </c>
      <c r="B177">
        <v>0.85</v>
      </c>
      <c r="C177">
        <v>0.03</v>
      </c>
      <c r="D177">
        <v>0</v>
      </c>
      <c r="E177">
        <f t="shared" si="9"/>
        <v>-1525.325</v>
      </c>
      <c r="F177">
        <f t="shared" si="10"/>
        <v>47.174999999999955</v>
      </c>
      <c r="G177">
        <f t="shared" si="12"/>
        <v>1048.3333333333323</v>
      </c>
    </row>
    <row r="178" spans="1:7" x14ac:dyDescent="0.25">
      <c r="A178">
        <f t="shared" si="11"/>
        <v>-1860</v>
      </c>
      <c r="B178">
        <v>0.85</v>
      </c>
      <c r="C178">
        <v>0.03</v>
      </c>
      <c r="D178">
        <v>0</v>
      </c>
      <c r="E178">
        <f t="shared" si="9"/>
        <v>-1533.57</v>
      </c>
      <c r="F178">
        <f t="shared" si="10"/>
        <v>47.430000000000064</v>
      </c>
      <c r="G178">
        <f t="shared" si="12"/>
        <v>1054.0000000000014</v>
      </c>
    </row>
    <row r="179" spans="1:7" x14ac:dyDescent="0.25">
      <c r="A179">
        <f t="shared" si="11"/>
        <v>-1870</v>
      </c>
      <c r="B179">
        <v>0.85</v>
      </c>
      <c r="C179">
        <v>0.03</v>
      </c>
      <c r="D179">
        <v>0</v>
      </c>
      <c r="E179">
        <f t="shared" si="9"/>
        <v>-1541.8150000000001</v>
      </c>
      <c r="F179">
        <f t="shared" si="10"/>
        <v>47.684999999999945</v>
      </c>
      <c r="G179">
        <f t="shared" si="12"/>
        <v>1059.6666666666656</v>
      </c>
    </row>
    <row r="180" spans="1:7" x14ac:dyDescent="0.25">
      <c r="A180">
        <f t="shared" si="11"/>
        <v>-1880</v>
      </c>
      <c r="B180">
        <v>0.85</v>
      </c>
      <c r="C180">
        <v>0.03</v>
      </c>
      <c r="D180">
        <v>0</v>
      </c>
      <c r="E180">
        <f t="shared" si="9"/>
        <v>-1550.06</v>
      </c>
      <c r="F180">
        <f t="shared" si="10"/>
        <v>47.940000000000055</v>
      </c>
      <c r="G180">
        <f t="shared" si="12"/>
        <v>1065.3333333333346</v>
      </c>
    </row>
    <row r="181" spans="1:7" x14ac:dyDescent="0.25">
      <c r="A181">
        <f t="shared" si="11"/>
        <v>-1890</v>
      </c>
      <c r="B181">
        <v>0.85</v>
      </c>
      <c r="C181">
        <v>0.03</v>
      </c>
      <c r="D181">
        <v>0</v>
      </c>
      <c r="E181">
        <f t="shared" si="9"/>
        <v>-1558.3050000000001</v>
      </c>
      <c r="F181">
        <f t="shared" si="10"/>
        <v>48.194999999999936</v>
      </c>
      <c r="G181">
        <f t="shared" si="12"/>
        <v>1070.9999999999986</v>
      </c>
    </row>
    <row r="182" spans="1:7" x14ac:dyDescent="0.25">
      <c r="A182">
        <f t="shared" si="11"/>
        <v>-1900</v>
      </c>
      <c r="B182">
        <v>0.85</v>
      </c>
      <c r="C182">
        <v>0.03</v>
      </c>
      <c r="D182">
        <v>0</v>
      </c>
      <c r="E182">
        <f t="shared" si="9"/>
        <v>-1566.55</v>
      </c>
      <c r="F182">
        <f t="shared" si="10"/>
        <v>48.450000000000045</v>
      </c>
      <c r="G182">
        <f t="shared" si="12"/>
        <v>1076.6666666666677</v>
      </c>
    </row>
    <row r="183" spans="1:7" x14ac:dyDescent="0.25">
      <c r="A183">
        <f t="shared" si="11"/>
        <v>-1910</v>
      </c>
      <c r="B183">
        <v>0.85</v>
      </c>
      <c r="C183">
        <v>0.03</v>
      </c>
      <c r="D183">
        <v>0</v>
      </c>
      <c r="E183">
        <f t="shared" si="9"/>
        <v>-1574.7949999999998</v>
      </c>
      <c r="F183">
        <f t="shared" si="10"/>
        <v>48.705000000000155</v>
      </c>
      <c r="G183">
        <f t="shared" si="12"/>
        <v>1082.3333333333369</v>
      </c>
    </row>
    <row r="184" spans="1:7" x14ac:dyDescent="0.25">
      <c r="A184">
        <f t="shared" si="11"/>
        <v>-1920</v>
      </c>
      <c r="B184">
        <v>0.85</v>
      </c>
      <c r="C184">
        <v>0.03</v>
      </c>
      <c r="D184">
        <v>0</v>
      </c>
      <c r="E184">
        <f t="shared" si="9"/>
        <v>-1583.04</v>
      </c>
      <c r="F184">
        <f t="shared" si="10"/>
        <v>48.960000000000036</v>
      </c>
      <c r="G184">
        <f t="shared" si="12"/>
        <v>1088.0000000000009</v>
      </c>
    </row>
    <row r="185" spans="1:7" x14ac:dyDescent="0.25">
      <c r="A185">
        <f t="shared" si="11"/>
        <v>-1930</v>
      </c>
      <c r="B185">
        <v>0.85</v>
      </c>
      <c r="C185">
        <v>0.03</v>
      </c>
      <c r="D185">
        <v>0</v>
      </c>
      <c r="E185">
        <f t="shared" si="9"/>
        <v>-1591.2849999999999</v>
      </c>
      <c r="F185">
        <f t="shared" si="10"/>
        <v>49.215000000000146</v>
      </c>
      <c r="G185">
        <f t="shared" si="12"/>
        <v>1093.6666666666699</v>
      </c>
    </row>
    <row r="186" spans="1:7" x14ac:dyDescent="0.25">
      <c r="A186">
        <f t="shared" si="11"/>
        <v>-1940</v>
      </c>
      <c r="B186">
        <v>0.85</v>
      </c>
      <c r="C186">
        <v>0.03</v>
      </c>
      <c r="D186">
        <v>0</v>
      </c>
      <c r="E186">
        <f t="shared" si="9"/>
        <v>-1599.53</v>
      </c>
      <c r="F186">
        <f t="shared" si="10"/>
        <v>49.470000000000027</v>
      </c>
      <c r="G186">
        <f t="shared" si="12"/>
        <v>1099.3333333333339</v>
      </c>
    </row>
    <row r="187" spans="1:7" x14ac:dyDescent="0.25">
      <c r="A187">
        <f t="shared" si="11"/>
        <v>-1950</v>
      </c>
      <c r="B187">
        <v>0.85</v>
      </c>
      <c r="C187">
        <v>0.03</v>
      </c>
      <c r="D187">
        <v>0</v>
      </c>
      <c r="E187">
        <f t="shared" si="9"/>
        <v>-1607.7749999999999</v>
      </c>
      <c r="F187">
        <f t="shared" si="10"/>
        <v>49.725000000000136</v>
      </c>
      <c r="G187">
        <f t="shared" si="12"/>
        <v>1105.0000000000032</v>
      </c>
    </row>
    <row r="188" spans="1:7" x14ac:dyDescent="0.25">
      <c r="A188">
        <f t="shared" si="11"/>
        <v>-1960</v>
      </c>
      <c r="B188">
        <v>0.85</v>
      </c>
      <c r="C188">
        <v>0.03</v>
      </c>
      <c r="D188">
        <v>0</v>
      </c>
      <c r="E188">
        <f t="shared" si="9"/>
        <v>-1616.02</v>
      </c>
      <c r="F188">
        <f t="shared" si="10"/>
        <v>49.980000000000018</v>
      </c>
      <c r="G188">
        <f t="shared" si="12"/>
        <v>1110.6666666666672</v>
      </c>
    </row>
    <row r="189" spans="1:7" x14ac:dyDescent="0.25">
      <c r="A189">
        <f t="shared" si="11"/>
        <v>-1970</v>
      </c>
      <c r="B189">
        <v>0.85</v>
      </c>
      <c r="C189">
        <v>0.03</v>
      </c>
      <c r="D189">
        <v>0</v>
      </c>
      <c r="E189">
        <f t="shared" si="9"/>
        <v>-1624.2649999999999</v>
      </c>
      <c r="F189">
        <f t="shared" si="10"/>
        <v>50.235000000000127</v>
      </c>
      <c r="G189">
        <f t="shared" si="12"/>
        <v>1116.3333333333362</v>
      </c>
    </row>
    <row r="190" spans="1:7" x14ac:dyDescent="0.25">
      <c r="A190">
        <f t="shared" si="11"/>
        <v>-1980</v>
      </c>
      <c r="B190">
        <v>0.85</v>
      </c>
      <c r="C190">
        <v>0.03</v>
      </c>
      <c r="D190">
        <v>0</v>
      </c>
      <c r="E190">
        <f t="shared" si="9"/>
        <v>-1632.51</v>
      </c>
      <c r="F190">
        <f t="shared" si="10"/>
        <v>50.490000000000009</v>
      </c>
      <c r="G190">
        <f t="shared" si="12"/>
        <v>1122.0000000000002</v>
      </c>
    </row>
    <row r="191" spans="1:7" x14ac:dyDescent="0.25">
      <c r="A191">
        <f t="shared" si="11"/>
        <v>-1990</v>
      </c>
      <c r="B191">
        <v>0.85</v>
      </c>
      <c r="C191">
        <v>0.03</v>
      </c>
      <c r="D191">
        <v>0</v>
      </c>
      <c r="E191">
        <f t="shared" si="9"/>
        <v>-1640.7549999999999</v>
      </c>
      <c r="F191">
        <f t="shared" si="10"/>
        <v>50.745000000000118</v>
      </c>
      <c r="G191">
        <f t="shared" si="12"/>
        <v>1127.6666666666692</v>
      </c>
    </row>
    <row r="192" spans="1:7" x14ac:dyDescent="0.25">
      <c r="A192">
        <f t="shared" si="11"/>
        <v>-2000</v>
      </c>
      <c r="B192">
        <v>0.85</v>
      </c>
      <c r="C192">
        <v>0.03</v>
      </c>
      <c r="D192">
        <v>0</v>
      </c>
      <c r="E192">
        <f t="shared" si="9"/>
        <v>-1649</v>
      </c>
      <c r="F192">
        <f t="shared" si="10"/>
        <v>51</v>
      </c>
      <c r="G192">
        <f t="shared" si="12"/>
        <v>1133.3333333333335</v>
      </c>
    </row>
    <row r="193" spans="1:7" x14ac:dyDescent="0.25">
      <c r="A193">
        <f t="shared" si="11"/>
        <v>-2010</v>
      </c>
      <c r="B193">
        <v>0.85</v>
      </c>
      <c r="C193">
        <v>0.03</v>
      </c>
      <c r="D193">
        <v>0</v>
      </c>
      <c r="E193">
        <f t="shared" si="9"/>
        <v>-1657.2449999999999</v>
      </c>
      <c r="F193">
        <f t="shared" si="10"/>
        <v>51.255000000000109</v>
      </c>
      <c r="G193">
        <f t="shared" si="12"/>
        <v>1139.0000000000025</v>
      </c>
    </row>
    <row r="194" spans="1:7" x14ac:dyDescent="0.25">
      <c r="A194">
        <f t="shared" si="11"/>
        <v>-2020</v>
      </c>
      <c r="B194">
        <v>0.85</v>
      </c>
      <c r="C194">
        <v>0.03</v>
      </c>
      <c r="D194">
        <v>0</v>
      </c>
      <c r="E194">
        <f t="shared" si="9"/>
        <v>-1665.49</v>
      </c>
      <c r="F194">
        <f t="shared" si="10"/>
        <v>51.509999999999991</v>
      </c>
      <c r="G194">
        <f t="shared" si="12"/>
        <v>1144.6666666666665</v>
      </c>
    </row>
    <row r="195" spans="1:7" x14ac:dyDescent="0.25">
      <c r="A195">
        <f t="shared" si="11"/>
        <v>-2030</v>
      </c>
      <c r="B195">
        <v>0.85</v>
      </c>
      <c r="C195">
        <v>0.03</v>
      </c>
      <c r="D195">
        <v>0</v>
      </c>
      <c r="E195">
        <f t="shared" ref="E195:E258" si="13">(A195*B195+D195)*(1-C195)</f>
        <v>-1673.7349999999999</v>
      </c>
      <c r="F195">
        <f t="shared" ref="F195:F258" si="14">-(A195*B195-E195)</f>
        <v>51.7650000000001</v>
      </c>
      <c r="G195">
        <f t="shared" si="12"/>
        <v>1150.3333333333355</v>
      </c>
    </row>
    <row r="196" spans="1:7" x14ac:dyDescent="0.25">
      <c r="A196">
        <f t="shared" ref="A196:A259" si="15">A195-10</f>
        <v>-2040</v>
      </c>
      <c r="B196">
        <v>0.85</v>
      </c>
      <c r="C196">
        <v>0.03</v>
      </c>
      <c r="D196">
        <v>0</v>
      </c>
      <c r="E196">
        <f t="shared" si="13"/>
        <v>-1681.98</v>
      </c>
      <c r="F196">
        <f t="shared" si="14"/>
        <v>52.019999999999982</v>
      </c>
      <c r="G196">
        <f t="shared" si="12"/>
        <v>1155.9999999999995</v>
      </c>
    </row>
    <row r="197" spans="1:7" x14ac:dyDescent="0.25">
      <c r="A197">
        <f t="shared" si="15"/>
        <v>-2050</v>
      </c>
      <c r="B197">
        <v>0.85</v>
      </c>
      <c r="C197">
        <v>0.03</v>
      </c>
      <c r="D197">
        <v>0</v>
      </c>
      <c r="E197">
        <f t="shared" si="13"/>
        <v>-1690.2249999999999</v>
      </c>
      <c r="F197">
        <f t="shared" si="14"/>
        <v>52.275000000000091</v>
      </c>
      <c r="G197">
        <f t="shared" si="12"/>
        <v>1161.6666666666688</v>
      </c>
    </row>
    <row r="198" spans="1:7" x14ac:dyDescent="0.25">
      <c r="A198">
        <f t="shared" si="15"/>
        <v>-2060</v>
      </c>
      <c r="B198">
        <v>0.85</v>
      </c>
      <c r="C198">
        <v>0.03</v>
      </c>
      <c r="D198">
        <v>0</v>
      </c>
      <c r="E198">
        <f t="shared" si="13"/>
        <v>-1698.47</v>
      </c>
      <c r="F198">
        <f t="shared" si="14"/>
        <v>52.529999999999973</v>
      </c>
      <c r="G198">
        <f t="shared" si="12"/>
        <v>1167.3333333333328</v>
      </c>
    </row>
    <row r="199" spans="1:7" x14ac:dyDescent="0.25">
      <c r="A199">
        <f t="shared" si="15"/>
        <v>-2070</v>
      </c>
      <c r="B199">
        <v>0.85</v>
      </c>
      <c r="C199">
        <v>0.03</v>
      </c>
      <c r="D199">
        <v>0</v>
      </c>
      <c r="E199">
        <f t="shared" si="13"/>
        <v>-1706.7149999999999</v>
      </c>
      <c r="F199">
        <f t="shared" si="14"/>
        <v>52.785000000000082</v>
      </c>
      <c r="G199">
        <f t="shared" si="12"/>
        <v>1173.0000000000018</v>
      </c>
    </row>
    <row r="200" spans="1:7" x14ac:dyDescent="0.25">
      <c r="A200">
        <f t="shared" si="15"/>
        <v>-2080</v>
      </c>
      <c r="B200">
        <v>0.85</v>
      </c>
      <c r="C200">
        <v>0.03</v>
      </c>
      <c r="D200">
        <v>0</v>
      </c>
      <c r="E200">
        <f t="shared" si="13"/>
        <v>-1714.96</v>
      </c>
      <c r="F200">
        <f t="shared" si="14"/>
        <v>53.039999999999964</v>
      </c>
      <c r="G200">
        <f t="shared" si="12"/>
        <v>1178.6666666666658</v>
      </c>
    </row>
    <row r="201" spans="1:7" x14ac:dyDescent="0.25">
      <c r="A201">
        <f t="shared" si="15"/>
        <v>-2090</v>
      </c>
      <c r="B201">
        <v>0.85</v>
      </c>
      <c r="C201">
        <v>0.03</v>
      </c>
      <c r="D201">
        <v>0</v>
      </c>
      <c r="E201">
        <f t="shared" si="13"/>
        <v>-1723.2049999999999</v>
      </c>
      <c r="F201">
        <f t="shared" si="14"/>
        <v>53.295000000000073</v>
      </c>
      <c r="G201">
        <f t="shared" si="12"/>
        <v>1184.3333333333351</v>
      </c>
    </row>
    <row r="202" spans="1:7" x14ac:dyDescent="0.25">
      <c r="A202">
        <f t="shared" si="15"/>
        <v>-2100</v>
      </c>
      <c r="B202">
        <v>0.85</v>
      </c>
      <c r="C202">
        <v>0.03</v>
      </c>
      <c r="D202">
        <v>0</v>
      </c>
      <c r="E202">
        <f t="shared" si="13"/>
        <v>-1731.45</v>
      </c>
      <c r="F202">
        <f t="shared" si="14"/>
        <v>53.549999999999955</v>
      </c>
      <c r="G202">
        <f t="shared" si="12"/>
        <v>1189.9999999999991</v>
      </c>
    </row>
    <row r="203" spans="1:7" x14ac:dyDescent="0.25">
      <c r="A203">
        <f t="shared" si="15"/>
        <v>-2110</v>
      </c>
      <c r="B203">
        <v>0.85</v>
      </c>
      <c r="C203">
        <v>0.03</v>
      </c>
      <c r="D203">
        <v>0</v>
      </c>
      <c r="E203">
        <f t="shared" si="13"/>
        <v>-1739.6949999999999</v>
      </c>
      <c r="F203">
        <f t="shared" si="14"/>
        <v>53.805000000000064</v>
      </c>
      <c r="G203">
        <f t="shared" si="12"/>
        <v>1195.6666666666681</v>
      </c>
    </row>
    <row r="204" spans="1:7" x14ac:dyDescent="0.25">
      <c r="A204">
        <f t="shared" si="15"/>
        <v>-2120</v>
      </c>
      <c r="B204">
        <v>0.85</v>
      </c>
      <c r="C204">
        <v>0.03</v>
      </c>
      <c r="D204">
        <v>0</v>
      </c>
      <c r="E204">
        <f t="shared" si="13"/>
        <v>-1747.94</v>
      </c>
      <c r="F204">
        <f t="shared" si="14"/>
        <v>54.059999999999945</v>
      </c>
      <c r="G204">
        <f t="shared" si="12"/>
        <v>1201.3333333333321</v>
      </c>
    </row>
    <row r="205" spans="1:7" x14ac:dyDescent="0.25">
      <c r="A205">
        <f t="shared" si="15"/>
        <v>-2130</v>
      </c>
      <c r="B205">
        <v>0.85</v>
      </c>
      <c r="C205">
        <v>0.03</v>
      </c>
      <c r="D205">
        <v>0</v>
      </c>
      <c r="E205">
        <f t="shared" si="13"/>
        <v>-1756.1849999999999</v>
      </c>
      <c r="F205">
        <f t="shared" si="14"/>
        <v>54.315000000000055</v>
      </c>
      <c r="G205">
        <f t="shared" si="12"/>
        <v>1207.0000000000014</v>
      </c>
    </row>
    <row r="206" spans="1:7" x14ac:dyDescent="0.25">
      <c r="A206">
        <f t="shared" si="15"/>
        <v>-2140</v>
      </c>
      <c r="B206">
        <v>0.85</v>
      </c>
      <c r="C206">
        <v>0.03</v>
      </c>
      <c r="D206">
        <v>0</v>
      </c>
      <c r="E206">
        <f t="shared" si="13"/>
        <v>-1764.43</v>
      </c>
      <c r="F206">
        <f t="shared" si="14"/>
        <v>54.569999999999936</v>
      </c>
      <c r="G206">
        <f t="shared" si="12"/>
        <v>1212.6666666666654</v>
      </c>
    </row>
    <row r="207" spans="1:7" x14ac:dyDescent="0.25">
      <c r="A207">
        <f t="shared" si="15"/>
        <v>-2150</v>
      </c>
      <c r="B207">
        <v>0.85</v>
      </c>
      <c r="C207">
        <v>0.03</v>
      </c>
      <c r="D207">
        <v>0</v>
      </c>
      <c r="E207">
        <f t="shared" si="13"/>
        <v>-1772.675</v>
      </c>
      <c r="F207">
        <f t="shared" si="14"/>
        <v>54.825000000000045</v>
      </c>
      <c r="G207">
        <f t="shared" si="12"/>
        <v>1218.3333333333344</v>
      </c>
    </row>
    <row r="208" spans="1:7" x14ac:dyDescent="0.25">
      <c r="A208">
        <f t="shared" si="15"/>
        <v>-2160</v>
      </c>
      <c r="B208">
        <v>0.85</v>
      </c>
      <c r="C208">
        <v>0.03</v>
      </c>
      <c r="D208">
        <v>0</v>
      </c>
      <c r="E208">
        <f t="shared" si="13"/>
        <v>-1780.9199999999998</v>
      </c>
      <c r="F208">
        <f t="shared" si="14"/>
        <v>55.080000000000155</v>
      </c>
      <c r="G208">
        <f t="shared" si="12"/>
        <v>1224.0000000000034</v>
      </c>
    </row>
    <row r="209" spans="1:7" x14ac:dyDescent="0.25">
      <c r="A209">
        <f t="shared" si="15"/>
        <v>-2170</v>
      </c>
      <c r="B209">
        <v>0.85</v>
      </c>
      <c r="C209">
        <v>0.03</v>
      </c>
      <c r="D209">
        <v>0</v>
      </c>
      <c r="E209">
        <f t="shared" si="13"/>
        <v>-1789.165</v>
      </c>
      <c r="F209">
        <f t="shared" si="14"/>
        <v>55.335000000000036</v>
      </c>
      <c r="G209">
        <f t="shared" si="12"/>
        <v>1229.6666666666674</v>
      </c>
    </row>
    <row r="210" spans="1:7" x14ac:dyDescent="0.25">
      <c r="A210">
        <f t="shared" si="15"/>
        <v>-2180</v>
      </c>
      <c r="B210">
        <v>0.85</v>
      </c>
      <c r="C210">
        <v>0.03</v>
      </c>
      <c r="D210">
        <v>0</v>
      </c>
      <c r="E210">
        <f t="shared" si="13"/>
        <v>-1797.4099999999999</v>
      </c>
      <c r="F210">
        <f t="shared" si="14"/>
        <v>55.590000000000146</v>
      </c>
      <c r="G210">
        <f t="shared" si="12"/>
        <v>1235.3333333333367</v>
      </c>
    </row>
    <row r="211" spans="1:7" x14ac:dyDescent="0.25">
      <c r="A211">
        <f t="shared" si="15"/>
        <v>-2190</v>
      </c>
      <c r="B211">
        <v>0.85</v>
      </c>
      <c r="C211">
        <v>0.03</v>
      </c>
      <c r="D211">
        <v>0</v>
      </c>
      <c r="E211">
        <f t="shared" si="13"/>
        <v>-1805.655</v>
      </c>
      <c r="F211">
        <f t="shared" si="14"/>
        <v>55.845000000000027</v>
      </c>
      <c r="G211">
        <f t="shared" si="12"/>
        <v>1241.0000000000007</v>
      </c>
    </row>
    <row r="212" spans="1:7" x14ac:dyDescent="0.25">
      <c r="A212">
        <f t="shared" si="15"/>
        <v>-2200</v>
      </c>
      <c r="B212">
        <v>0.85</v>
      </c>
      <c r="C212">
        <v>0.03</v>
      </c>
      <c r="D212">
        <v>0</v>
      </c>
      <c r="E212">
        <f t="shared" si="13"/>
        <v>-1813.8999999999999</v>
      </c>
      <c r="F212">
        <f t="shared" si="14"/>
        <v>56.100000000000136</v>
      </c>
      <c r="G212">
        <f t="shared" si="12"/>
        <v>1246.6666666666697</v>
      </c>
    </row>
    <row r="213" spans="1:7" x14ac:dyDescent="0.25">
      <c r="A213">
        <f t="shared" si="15"/>
        <v>-2210</v>
      </c>
      <c r="B213">
        <v>0.85</v>
      </c>
      <c r="C213">
        <v>0.03</v>
      </c>
      <c r="D213">
        <v>0</v>
      </c>
      <c r="E213">
        <f t="shared" si="13"/>
        <v>-1822.145</v>
      </c>
      <c r="F213">
        <f t="shared" si="14"/>
        <v>56.355000000000018</v>
      </c>
      <c r="G213">
        <f t="shared" si="12"/>
        <v>1252.3333333333337</v>
      </c>
    </row>
    <row r="214" spans="1:7" x14ac:dyDescent="0.25">
      <c r="A214">
        <f t="shared" si="15"/>
        <v>-2220</v>
      </c>
      <c r="B214">
        <v>0.85</v>
      </c>
      <c r="C214">
        <v>0.03</v>
      </c>
      <c r="D214">
        <v>0</v>
      </c>
      <c r="E214">
        <f t="shared" si="13"/>
        <v>-1830.3899999999999</v>
      </c>
      <c r="F214">
        <f t="shared" si="14"/>
        <v>56.610000000000127</v>
      </c>
      <c r="G214">
        <f t="shared" si="12"/>
        <v>1258.000000000003</v>
      </c>
    </row>
    <row r="215" spans="1:7" x14ac:dyDescent="0.25">
      <c r="A215">
        <f t="shared" si="15"/>
        <v>-2230</v>
      </c>
      <c r="B215">
        <v>0.85</v>
      </c>
      <c r="C215">
        <v>0.03</v>
      </c>
      <c r="D215">
        <v>0</v>
      </c>
      <c r="E215">
        <f t="shared" si="13"/>
        <v>-1838.635</v>
      </c>
      <c r="F215">
        <f t="shared" si="14"/>
        <v>56.865000000000009</v>
      </c>
      <c r="G215">
        <f t="shared" si="12"/>
        <v>1263.666666666667</v>
      </c>
    </row>
    <row r="216" spans="1:7" x14ac:dyDescent="0.25">
      <c r="A216">
        <f t="shared" si="15"/>
        <v>-2240</v>
      </c>
      <c r="B216">
        <v>0.85</v>
      </c>
      <c r="C216">
        <v>0.03</v>
      </c>
      <c r="D216">
        <v>0</v>
      </c>
      <c r="E216">
        <f t="shared" si="13"/>
        <v>-1846.8799999999999</v>
      </c>
      <c r="F216">
        <f t="shared" si="14"/>
        <v>57.120000000000118</v>
      </c>
      <c r="G216">
        <f t="shared" si="12"/>
        <v>1269.333333333336</v>
      </c>
    </row>
    <row r="217" spans="1:7" x14ac:dyDescent="0.25">
      <c r="A217">
        <f t="shared" si="15"/>
        <v>-2250</v>
      </c>
      <c r="B217">
        <v>0.85</v>
      </c>
      <c r="C217">
        <v>0.03</v>
      </c>
      <c r="D217">
        <v>0</v>
      </c>
      <c r="E217">
        <f t="shared" si="13"/>
        <v>-1855.125</v>
      </c>
      <c r="F217">
        <f t="shared" si="14"/>
        <v>57.375</v>
      </c>
      <c r="G217">
        <f t="shared" si="12"/>
        <v>1275</v>
      </c>
    </row>
    <row r="218" spans="1:7" x14ac:dyDescent="0.25">
      <c r="A218">
        <f t="shared" si="15"/>
        <v>-2260</v>
      </c>
      <c r="B218">
        <v>0.85</v>
      </c>
      <c r="C218">
        <v>0.03</v>
      </c>
      <c r="D218">
        <v>0</v>
      </c>
      <c r="E218">
        <f t="shared" si="13"/>
        <v>-1863.37</v>
      </c>
      <c r="F218">
        <f t="shared" si="14"/>
        <v>57.630000000000109</v>
      </c>
      <c r="G218">
        <f t="shared" si="12"/>
        <v>1280.6666666666692</v>
      </c>
    </row>
    <row r="219" spans="1:7" x14ac:dyDescent="0.25">
      <c r="A219">
        <f t="shared" si="15"/>
        <v>-2270</v>
      </c>
      <c r="B219">
        <v>0.85</v>
      </c>
      <c r="C219">
        <v>0.03</v>
      </c>
      <c r="D219">
        <v>0</v>
      </c>
      <c r="E219">
        <f t="shared" si="13"/>
        <v>-1871.615</v>
      </c>
      <c r="F219">
        <f t="shared" si="14"/>
        <v>57.884999999999991</v>
      </c>
      <c r="G219">
        <f t="shared" si="12"/>
        <v>1286.3333333333333</v>
      </c>
    </row>
    <row r="220" spans="1:7" x14ac:dyDescent="0.25">
      <c r="A220">
        <f t="shared" si="15"/>
        <v>-2280</v>
      </c>
      <c r="B220">
        <v>0.85</v>
      </c>
      <c r="C220">
        <v>0.03</v>
      </c>
      <c r="D220">
        <v>0</v>
      </c>
      <c r="E220">
        <f t="shared" si="13"/>
        <v>-1879.86</v>
      </c>
      <c r="F220">
        <f t="shared" si="14"/>
        <v>58.1400000000001</v>
      </c>
      <c r="G220">
        <f t="shared" si="12"/>
        <v>1292.0000000000023</v>
      </c>
    </row>
    <row r="221" spans="1:7" x14ac:dyDescent="0.25">
      <c r="A221">
        <f t="shared" si="15"/>
        <v>-2290</v>
      </c>
      <c r="B221">
        <v>0.85</v>
      </c>
      <c r="C221">
        <v>0.03</v>
      </c>
      <c r="D221">
        <v>0</v>
      </c>
      <c r="E221">
        <f t="shared" si="13"/>
        <v>-1888.105</v>
      </c>
      <c r="F221">
        <f t="shared" si="14"/>
        <v>58.394999999999982</v>
      </c>
      <c r="G221">
        <f t="shared" si="12"/>
        <v>1297.6666666666663</v>
      </c>
    </row>
    <row r="222" spans="1:7" x14ac:dyDescent="0.25">
      <c r="A222">
        <f t="shared" si="15"/>
        <v>-2300</v>
      </c>
      <c r="B222">
        <v>0.85</v>
      </c>
      <c r="C222">
        <v>0.03</v>
      </c>
      <c r="D222">
        <v>0</v>
      </c>
      <c r="E222">
        <f t="shared" si="13"/>
        <v>-1896.35</v>
      </c>
      <c r="F222">
        <f t="shared" si="14"/>
        <v>58.650000000000091</v>
      </c>
      <c r="G222">
        <f t="shared" si="12"/>
        <v>1303.3333333333353</v>
      </c>
    </row>
    <row r="223" spans="1:7" x14ac:dyDescent="0.25">
      <c r="A223">
        <f t="shared" si="15"/>
        <v>-2310</v>
      </c>
      <c r="B223">
        <v>0.85</v>
      </c>
      <c r="C223">
        <v>0.03</v>
      </c>
      <c r="D223">
        <v>0</v>
      </c>
      <c r="E223">
        <f t="shared" si="13"/>
        <v>-1904.595</v>
      </c>
      <c r="F223">
        <f t="shared" si="14"/>
        <v>58.904999999999973</v>
      </c>
      <c r="G223">
        <f t="shared" ref="G223:G286" si="16">F223*2/0.09</f>
        <v>1308.9999999999995</v>
      </c>
    </row>
    <row r="224" spans="1:7" x14ac:dyDescent="0.25">
      <c r="A224">
        <f t="shared" si="15"/>
        <v>-2320</v>
      </c>
      <c r="B224">
        <v>0.85</v>
      </c>
      <c r="C224">
        <v>0.03</v>
      </c>
      <c r="D224">
        <v>0</v>
      </c>
      <c r="E224">
        <f t="shared" si="13"/>
        <v>-1912.84</v>
      </c>
      <c r="F224">
        <f t="shared" si="14"/>
        <v>59.160000000000082</v>
      </c>
      <c r="G224">
        <f t="shared" si="16"/>
        <v>1314.6666666666686</v>
      </c>
    </row>
    <row r="225" spans="1:7" x14ac:dyDescent="0.25">
      <c r="A225">
        <f t="shared" si="15"/>
        <v>-2330</v>
      </c>
      <c r="B225">
        <v>0.85</v>
      </c>
      <c r="C225">
        <v>0.03</v>
      </c>
      <c r="D225">
        <v>0</v>
      </c>
      <c r="E225">
        <f t="shared" si="13"/>
        <v>-1921.085</v>
      </c>
      <c r="F225">
        <f t="shared" si="14"/>
        <v>59.414999999999964</v>
      </c>
      <c r="G225">
        <f t="shared" si="16"/>
        <v>1320.3333333333326</v>
      </c>
    </row>
    <row r="226" spans="1:7" x14ac:dyDescent="0.25">
      <c r="A226">
        <f t="shared" si="15"/>
        <v>-2340</v>
      </c>
      <c r="B226">
        <v>0.85</v>
      </c>
      <c r="C226">
        <v>0.03</v>
      </c>
      <c r="D226">
        <v>0</v>
      </c>
      <c r="E226">
        <f t="shared" si="13"/>
        <v>-1929.33</v>
      </c>
      <c r="F226">
        <f t="shared" si="14"/>
        <v>59.670000000000073</v>
      </c>
      <c r="G226">
        <f t="shared" si="16"/>
        <v>1326.0000000000016</v>
      </c>
    </row>
    <row r="227" spans="1:7" x14ac:dyDescent="0.25">
      <c r="A227">
        <f t="shared" si="15"/>
        <v>-2350</v>
      </c>
      <c r="B227">
        <v>0.85</v>
      </c>
      <c r="C227">
        <v>0.03</v>
      </c>
      <c r="D227">
        <v>0</v>
      </c>
      <c r="E227">
        <f t="shared" si="13"/>
        <v>-1937.575</v>
      </c>
      <c r="F227">
        <f t="shared" si="14"/>
        <v>59.924999999999955</v>
      </c>
      <c r="G227">
        <f t="shared" si="16"/>
        <v>1331.6666666666656</v>
      </c>
    </row>
    <row r="228" spans="1:7" x14ac:dyDescent="0.25">
      <c r="A228">
        <f t="shared" si="15"/>
        <v>-2360</v>
      </c>
      <c r="B228">
        <v>0.85</v>
      </c>
      <c r="C228">
        <v>0.03</v>
      </c>
      <c r="D228">
        <v>0</v>
      </c>
      <c r="E228">
        <f t="shared" si="13"/>
        <v>-1945.82</v>
      </c>
      <c r="F228">
        <f t="shared" si="14"/>
        <v>60.180000000000064</v>
      </c>
      <c r="G228">
        <f t="shared" si="16"/>
        <v>1337.3333333333348</v>
      </c>
    </row>
    <row r="229" spans="1:7" x14ac:dyDescent="0.25">
      <c r="A229">
        <f t="shared" si="15"/>
        <v>-2370</v>
      </c>
      <c r="B229">
        <v>0.85</v>
      </c>
      <c r="C229">
        <v>0.03</v>
      </c>
      <c r="D229">
        <v>0</v>
      </c>
      <c r="E229">
        <f t="shared" si="13"/>
        <v>-1954.0650000000001</v>
      </c>
      <c r="F229">
        <f t="shared" si="14"/>
        <v>60.434999999999945</v>
      </c>
      <c r="G229">
        <f t="shared" si="16"/>
        <v>1342.9999999999989</v>
      </c>
    </row>
    <row r="230" spans="1:7" x14ac:dyDescent="0.25">
      <c r="A230">
        <f t="shared" si="15"/>
        <v>-2380</v>
      </c>
      <c r="B230">
        <v>0.85</v>
      </c>
      <c r="C230">
        <v>0.03</v>
      </c>
      <c r="D230">
        <v>0</v>
      </c>
      <c r="E230">
        <f t="shared" si="13"/>
        <v>-1962.31</v>
      </c>
      <c r="F230">
        <f t="shared" si="14"/>
        <v>60.690000000000055</v>
      </c>
      <c r="G230">
        <f t="shared" si="16"/>
        <v>1348.6666666666679</v>
      </c>
    </row>
    <row r="231" spans="1:7" x14ac:dyDescent="0.25">
      <c r="A231">
        <f t="shared" si="15"/>
        <v>-2390</v>
      </c>
      <c r="B231">
        <v>0.85</v>
      </c>
      <c r="C231">
        <v>0.03</v>
      </c>
      <c r="D231">
        <v>0</v>
      </c>
      <c r="E231">
        <f t="shared" si="13"/>
        <v>-1970.5549999999998</v>
      </c>
      <c r="F231">
        <f t="shared" si="14"/>
        <v>60.945000000000164</v>
      </c>
      <c r="G231">
        <f t="shared" si="16"/>
        <v>1354.3333333333371</v>
      </c>
    </row>
    <row r="232" spans="1:7" x14ac:dyDescent="0.25">
      <c r="A232">
        <f t="shared" si="15"/>
        <v>-2400</v>
      </c>
      <c r="B232">
        <v>0.85</v>
      </c>
      <c r="C232">
        <v>0.03</v>
      </c>
      <c r="D232">
        <v>0</v>
      </c>
      <c r="E232">
        <f t="shared" si="13"/>
        <v>-1978.8</v>
      </c>
      <c r="F232">
        <f t="shared" si="14"/>
        <v>61.200000000000045</v>
      </c>
      <c r="G232">
        <f t="shared" si="16"/>
        <v>1360.0000000000011</v>
      </c>
    </row>
    <row r="233" spans="1:7" x14ac:dyDescent="0.25">
      <c r="A233">
        <f t="shared" si="15"/>
        <v>-2410</v>
      </c>
      <c r="B233">
        <v>0.85</v>
      </c>
      <c r="C233">
        <v>0.03</v>
      </c>
      <c r="D233">
        <v>0</v>
      </c>
      <c r="E233">
        <f t="shared" si="13"/>
        <v>-1987.0449999999998</v>
      </c>
      <c r="F233">
        <f t="shared" si="14"/>
        <v>61.455000000000155</v>
      </c>
      <c r="G233">
        <f t="shared" si="16"/>
        <v>1365.6666666666702</v>
      </c>
    </row>
    <row r="234" spans="1:7" x14ac:dyDescent="0.25">
      <c r="A234">
        <f t="shared" si="15"/>
        <v>-2420</v>
      </c>
      <c r="B234">
        <v>0.85</v>
      </c>
      <c r="C234">
        <v>0.03</v>
      </c>
      <c r="D234">
        <v>0</v>
      </c>
      <c r="E234">
        <f t="shared" si="13"/>
        <v>-1995.29</v>
      </c>
      <c r="F234">
        <f t="shared" si="14"/>
        <v>61.710000000000036</v>
      </c>
      <c r="G234">
        <f t="shared" si="16"/>
        <v>1371.3333333333342</v>
      </c>
    </row>
    <row r="235" spans="1:7" x14ac:dyDescent="0.25">
      <c r="A235">
        <f t="shared" si="15"/>
        <v>-2430</v>
      </c>
      <c r="B235">
        <v>0.85</v>
      </c>
      <c r="C235">
        <v>0.03</v>
      </c>
      <c r="D235">
        <v>0</v>
      </c>
      <c r="E235">
        <f t="shared" si="13"/>
        <v>-2003.5349999999999</v>
      </c>
      <c r="F235">
        <f t="shared" si="14"/>
        <v>61.965000000000146</v>
      </c>
      <c r="G235">
        <f t="shared" si="16"/>
        <v>1377.0000000000032</v>
      </c>
    </row>
    <row r="236" spans="1:7" x14ac:dyDescent="0.25">
      <c r="A236">
        <f t="shared" si="15"/>
        <v>-2440</v>
      </c>
      <c r="B236">
        <v>0.85</v>
      </c>
      <c r="C236">
        <v>0.03</v>
      </c>
      <c r="D236">
        <v>0</v>
      </c>
      <c r="E236">
        <f t="shared" si="13"/>
        <v>-2011.78</v>
      </c>
      <c r="F236">
        <f t="shared" si="14"/>
        <v>62.220000000000027</v>
      </c>
      <c r="G236">
        <f t="shared" si="16"/>
        <v>1382.6666666666674</v>
      </c>
    </row>
    <row r="237" spans="1:7" x14ac:dyDescent="0.25">
      <c r="A237">
        <f t="shared" si="15"/>
        <v>-2450</v>
      </c>
      <c r="B237">
        <v>0.85</v>
      </c>
      <c r="C237">
        <v>0.03</v>
      </c>
      <c r="D237">
        <v>0</v>
      </c>
      <c r="E237">
        <f t="shared" si="13"/>
        <v>-2020.0249999999999</v>
      </c>
      <c r="F237">
        <f t="shared" si="14"/>
        <v>62.475000000000136</v>
      </c>
      <c r="G237">
        <f t="shared" si="16"/>
        <v>1388.3333333333364</v>
      </c>
    </row>
    <row r="238" spans="1:7" x14ac:dyDescent="0.25">
      <c r="A238">
        <f t="shared" si="15"/>
        <v>-2460</v>
      </c>
      <c r="B238">
        <v>0.85</v>
      </c>
      <c r="C238">
        <v>0.03</v>
      </c>
      <c r="D238">
        <v>0</v>
      </c>
      <c r="E238">
        <f t="shared" si="13"/>
        <v>-2028.27</v>
      </c>
      <c r="F238">
        <f t="shared" si="14"/>
        <v>62.730000000000018</v>
      </c>
      <c r="G238">
        <f t="shared" si="16"/>
        <v>1394.0000000000005</v>
      </c>
    </row>
    <row r="239" spans="1:7" x14ac:dyDescent="0.25">
      <c r="A239">
        <f t="shared" si="15"/>
        <v>-2470</v>
      </c>
      <c r="B239">
        <v>0.85</v>
      </c>
      <c r="C239">
        <v>0.03</v>
      </c>
      <c r="D239">
        <v>0</v>
      </c>
      <c r="E239">
        <f t="shared" si="13"/>
        <v>-2036.5149999999999</v>
      </c>
      <c r="F239">
        <f t="shared" si="14"/>
        <v>62.985000000000127</v>
      </c>
      <c r="G239">
        <f t="shared" si="16"/>
        <v>1399.6666666666695</v>
      </c>
    </row>
    <row r="240" spans="1:7" x14ac:dyDescent="0.25">
      <c r="A240">
        <f t="shared" si="15"/>
        <v>-2480</v>
      </c>
      <c r="B240">
        <v>0.85</v>
      </c>
      <c r="C240">
        <v>0.03</v>
      </c>
      <c r="D240">
        <v>0</v>
      </c>
      <c r="E240">
        <f t="shared" si="13"/>
        <v>-2044.76</v>
      </c>
      <c r="F240">
        <f t="shared" si="14"/>
        <v>63.240000000000009</v>
      </c>
      <c r="G240">
        <f t="shared" si="16"/>
        <v>1405.3333333333335</v>
      </c>
    </row>
    <row r="241" spans="1:7" x14ac:dyDescent="0.25">
      <c r="A241">
        <f t="shared" si="15"/>
        <v>-2490</v>
      </c>
      <c r="B241">
        <v>0.85</v>
      </c>
      <c r="C241">
        <v>0.03</v>
      </c>
      <c r="D241">
        <v>0</v>
      </c>
      <c r="E241">
        <f t="shared" si="13"/>
        <v>-2053.0050000000001</v>
      </c>
      <c r="F241">
        <f t="shared" si="14"/>
        <v>63.494999999999891</v>
      </c>
      <c r="G241">
        <f t="shared" si="16"/>
        <v>1410.9999999999977</v>
      </c>
    </row>
    <row r="242" spans="1:7" x14ac:dyDescent="0.25">
      <c r="A242">
        <f t="shared" si="15"/>
        <v>-2500</v>
      </c>
      <c r="B242">
        <v>0.85</v>
      </c>
      <c r="C242">
        <v>0.03</v>
      </c>
      <c r="D242">
        <v>0</v>
      </c>
      <c r="E242">
        <f t="shared" si="13"/>
        <v>-2061.25</v>
      </c>
      <c r="F242">
        <f t="shared" si="14"/>
        <v>63.75</v>
      </c>
      <c r="G242">
        <f t="shared" si="16"/>
        <v>1416.6666666666667</v>
      </c>
    </row>
    <row r="243" spans="1:7" x14ac:dyDescent="0.25">
      <c r="A243">
        <f t="shared" si="15"/>
        <v>-2510</v>
      </c>
      <c r="B243">
        <v>0.85</v>
      </c>
      <c r="C243">
        <v>0.03</v>
      </c>
      <c r="D243">
        <v>0</v>
      </c>
      <c r="E243">
        <f t="shared" si="13"/>
        <v>-2069.4949999999999</v>
      </c>
      <c r="F243">
        <f t="shared" si="14"/>
        <v>64.005000000000109</v>
      </c>
      <c r="G243">
        <f t="shared" si="16"/>
        <v>1422.3333333333358</v>
      </c>
    </row>
    <row r="244" spans="1:7" x14ac:dyDescent="0.25">
      <c r="A244">
        <f t="shared" si="15"/>
        <v>-2520</v>
      </c>
      <c r="B244">
        <v>0.85</v>
      </c>
      <c r="C244">
        <v>0.03</v>
      </c>
      <c r="D244">
        <v>0</v>
      </c>
      <c r="E244">
        <f t="shared" si="13"/>
        <v>-2077.7399999999998</v>
      </c>
      <c r="F244">
        <f t="shared" si="14"/>
        <v>64.260000000000218</v>
      </c>
      <c r="G244">
        <f t="shared" si="16"/>
        <v>1428.000000000005</v>
      </c>
    </row>
    <row r="245" spans="1:7" x14ac:dyDescent="0.25">
      <c r="A245">
        <f t="shared" si="15"/>
        <v>-2530</v>
      </c>
      <c r="B245">
        <v>0.85</v>
      </c>
      <c r="C245">
        <v>0.03</v>
      </c>
      <c r="D245">
        <v>0</v>
      </c>
      <c r="E245">
        <f t="shared" si="13"/>
        <v>-2085.9850000000001</v>
      </c>
      <c r="F245">
        <f t="shared" si="14"/>
        <v>64.514999999999873</v>
      </c>
      <c r="G245">
        <f t="shared" si="16"/>
        <v>1433.6666666666638</v>
      </c>
    </row>
    <row r="246" spans="1:7" x14ac:dyDescent="0.25">
      <c r="A246">
        <f t="shared" si="15"/>
        <v>-2540</v>
      </c>
      <c r="B246">
        <v>0.85</v>
      </c>
      <c r="C246">
        <v>0.03</v>
      </c>
      <c r="D246">
        <v>0</v>
      </c>
      <c r="E246">
        <f t="shared" si="13"/>
        <v>-2094.23</v>
      </c>
      <c r="F246">
        <f t="shared" si="14"/>
        <v>64.769999999999982</v>
      </c>
      <c r="G246">
        <f t="shared" si="16"/>
        <v>1439.333333333333</v>
      </c>
    </row>
    <row r="247" spans="1:7" x14ac:dyDescent="0.25">
      <c r="A247">
        <f t="shared" si="15"/>
        <v>-2550</v>
      </c>
      <c r="B247">
        <v>0.85</v>
      </c>
      <c r="C247">
        <v>0.03</v>
      </c>
      <c r="D247">
        <v>0</v>
      </c>
      <c r="E247">
        <f t="shared" si="13"/>
        <v>-2102.4749999999999</v>
      </c>
      <c r="F247">
        <f t="shared" si="14"/>
        <v>65.025000000000091</v>
      </c>
      <c r="G247">
        <f t="shared" si="16"/>
        <v>1445.000000000002</v>
      </c>
    </row>
    <row r="248" spans="1:7" x14ac:dyDescent="0.25">
      <c r="A248">
        <f t="shared" si="15"/>
        <v>-2560</v>
      </c>
      <c r="B248">
        <v>0.85</v>
      </c>
      <c r="C248">
        <v>0.03</v>
      </c>
      <c r="D248">
        <v>0</v>
      </c>
      <c r="E248">
        <f t="shared" si="13"/>
        <v>-2110.7199999999998</v>
      </c>
      <c r="F248">
        <f t="shared" si="14"/>
        <v>65.2800000000002</v>
      </c>
      <c r="G248">
        <f t="shared" si="16"/>
        <v>1450.6666666666711</v>
      </c>
    </row>
    <row r="249" spans="1:7" x14ac:dyDescent="0.25">
      <c r="A249">
        <f t="shared" si="15"/>
        <v>-2570</v>
      </c>
      <c r="B249">
        <v>0.85</v>
      </c>
      <c r="C249">
        <v>0.03</v>
      </c>
      <c r="D249">
        <v>0</v>
      </c>
      <c r="E249">
        <f t="shared" si="13"/>
        <v>-2118.9650000000001</v>
      </c>
      <c r="F249">
        <f t="shared" si="14"/>
        <v>65.534999999999854</v>
      </c>
      <c r="G249">
        <f t="shared" si="16"/>
        <v>1456.3333333333301</v>
      </c>
    </row>
    <row r="250" spans="1:7" x14ac:dyDescent="0.25">
      <c r="A250">
        <f t="shared" si="15"/>
        <v>-2580</v>
      </c>
      <c r="B250">
        <v>0.85</v>
      </c>
      <c r="C250">
        <v>0.03</v>
      </c>
      <c r="D250">
        <v>0</v>
      </c>
      <c r="E250">
        <f t="shared" si="13"/>
        <v>-2127.21</v>
      </c>
      <c r="F250">
        <f t="shared" si="14"/>
        <v>65.789999999999964</v>
      </c>
      <c r="G250">
        <f t="shared" si="16"/>
        <v>1461.9999999999993</v>
      </c>
    </row>
    <row r="251" spans="1:7" x14ac:dyDescent="0.25">
      <c r="A251">
        <f t="shared" si="15"/>
        <v>-2590</v>
      </c>
      <c r="B251">
        <v>0.85</v>
      </c>
      <c r="C251">
        <v>0.03</v>
      </c>
      <c r="D251">
        <v>0</v>
      </c>
      <c r="E251">
        <f t="shared" si="13"/>
        <v>-2135.4549999999999</v>
      </c>
      <c r="F251">
        <f t="shared" si="14"/>
        <v>66.045000000000073</v>
      </c>
      <c r="G251">
        <f t="shared" si="16"/>
        <v>1467.6666666666683</v>
      </c>
    </row>
    <row r="252" spans="1:7" x14ac:dyDescent="0.25">
      <c r="A252">
        <f t="shared" si="15"/>
        <v>-2600</v>
      </c>
      <c r="B252">
        <v>0.85</v>
      </c>
      <c r="C252">
        <v>0.03</v>
      </c>
      <c r="D252">
        <v>0</v>
      </c>
      <c r="E252">
        <f t="shared" si="13"/>
        <v>-2143.6999999999998</v>
      </c>
      <c r="F252">
        <f t="shared" si="14"/>
        <v>66.300000000000182</v>
      </c>
      <c r="G252">
        <f t="shared" si="16"/>
        <v>1473.3333333333374</v>
      </c>
    </row>
    <row r="253" spans="1:7" x14ac:dyDescent="0.25">
      <c r="A253">
        <f t="shared" si="15"/>
        <v>-2610</v>
      </c>
      <c r="B253">
        <v>0.85</v>
      </c>
      <c r="C253">
        <v>0.03</v>
      </c>
      <c r="D253">
        <v>0</v>
      </c>
      <c r="E253">
        <f t="shared" si="13"/>
        <v>-2151.9450000000002</v>
      </c>
      <c r="F253">
        <f t="shared" si="14"/>
        <v>66.554999999999836</v>
      </c>
      <c r="G253">
        <f t="shared" si="16"/>
        <v>1478.9999999999964</v>
      </c>
    </row>
    <row r="254" spans="1:7" x14ac:dyDescent="0.25">
      <c r="A254">
        <f t="shared" si="15"/>
        <v>-2620</v>
      </c>
      <c r="B254">
        <v>0.85</v>
      </c>
      <c r="C254">
        <v>0.03</v>
      </c>
      <c r="D254">
        <v>0</v>
      </c>
      <c r="E254">
        <f t="shared" si="13"/>
        <v>-2160.19</v>
      </c>
      <c r="F254">
        <f t="shared" si="14"/>
        <v>66.809999999999945</v>
      </c>
      <c r="G254">
        <f t="shared" si="16"/>
        <v>1484.6666666666656</v>
      </c>
    </row>
    <row r="255" spans="1:7" x14ac:dyDescent="0.25">
      <c r="A255">
        <f t="shared" si="15"/>
        <v>-2630</v>
      </c>
      <c r="B255">
        <v>0.85</v>
      </c>
      <c r="C255">
        <v>0.03</v>
      </c>
      <c r="D255">
        <v>0</v>
      </c>
      <c r="E255">
        <f t="shared" si="13"/>
        <v>-2168.4349999999999</v>
      </c>
      <c r="F255">
        <f t="shared" si="14"/>
        <v>67.065000000000055</v>
      </c>
      <c r="G255">
        <f t="shared" si="16"/>
        <v>1490.3333333333346</v>
      </c>
    </row>
    <row r="256" spans="1:7" x14ac:dyDescent="0.25">
      <c r="A256">
        <f t="shared" si="15"/>
        <v>-2640</v>
      </c>
      <c r="B256">
        <v>0.85</v>
      </c>
      <c r="C256">
        <v>0.03</v>
      </c>
      <c r="D256">
        <v>0</v>
      </c>
      <c r="E256">
        <f t="shared" si="13"/>
        <v>-2176.6799999999998</v>
      </c>
      <c r="F256">
        <f t="shared" si="14"/>
        <v>67.320000000000164</v>
      </c>
      <c r="G256">
        <f t="shared" si="16"/>
        <v>1496.0000000000036</v>
      </c>
    </row>
    <row r="257" spans="1:7" x14ac:dyDescent="0.25">
      <c r="A257">
        <f t="shared" si="15"/>
        <v>-2650</v>
      </c>
      <c r="B257">
        <v>0.85</v>
      </c>
      <c r="C257">
        <v>0.03</v>
      </c>
      <c r="D257">
        <v>0</v>
      </c>
      <c r="E257">
        <f t="shared" si="13"/>
        <v>-2184.9249999999997</v>
      </c>
      <c r="F257">
        <f t="shared" si="14"/>
        <v>67.575000000000273</v>
      </c>
      <c r="G257">
        <f t="shared" si="16"/>
        <v>1501.6666666666729</v>
      </c>
    </row>
    <row r="258" spans="1:7" x14ac:dyDescent="0.25">
      <c r="A258">
        <f t="shared" si="15"/>
        <v>-2660</v>
      </c>
      <c r="B258">
        <v>0.85</v>
      </c>
      <c r="C258">
        <v>0.03</v>
      </c>
      <c r="D258">
        <v>0</v>
      </c>
      <c r="E258">
        <f t="shared" si="13"/>
        <v>-2193.17</v>
      </c>
      <c r="F258">
        <f t="shared" si="14"/>
        <v>67.829999999999927</v>
      </c>
      <c r="G258">
        <f t="shared" si="16"/>
        <v>1507.3333333333317</v>
      </c>
    </row>
    <row r="259" spans="1:7" x14ac:dyDescent="0.25">
      <c r="A259">
        <f t="shared" si="15"/>
        <v>-2670</v>
      </c>
      <c r="B259">
        <v>0.85</v>
      </c>
      <c r="C259">
        <v>0.03</v>
      </c>
      <c r="D259">
        <v>0</v>
      </c>
      <c r="E259">
        <f t="shared" ref="E259:E322" si="17">(A259*B259+D259)*(1-C259)</f>
        <v>-2201.415</v>
      </c>
      <c r="F259">
        <f t="shared" ref="F259:F322" si="18">-(A259*B259-E259)</f>
        <v>68.085000000000036</v>
      </c>
      <c r="G259">
        <f t="shared" si="16"/>
        <v>1513.0000000000009</v>
      </c>
    </row>
    <row r="260" spans="1:7" x14ac:dyDescent="0.25">
      <c r="A260">
        <f t="shared" ref="A260:A323" si="19">A259-10</f>
        <v>-2680</v>
      </c>
      <c r="B260">
        <v>0.85</v>
      </c>
      <c r="C260">
        <v>0.03</v>
      </c>
      <c r="D260">
        <v>0</v>
      </c>
      <c r="E260">
        <f t="shared" si="17"/>
        <v>-2209.66</v>
      </c>
      <c r="F260">
        <f t="shared" si="18"/>
        <v>68.340000000000146</v>
      </c>
      <c r="G260">
        <f t="shared" si="16"/>
        <v>1518.6666666666699</v>
      </c>
    </row>
    <row r="261" spans="1:7" x14ac:dyDescent="0.25">
      <c r="A261">
        <f t="shared" si="19"/>
        <v>-2690</v>
      </c>
      <c r="B261">
        <v>0.85</v>
      </c>
      <c r="C261">
        <v>0.03</v>
      </c>
      <c r="D261">
        <v>0</v>
      </c>
      <c r="E261">
        <f t="shared" si="17"/>
        <v>-2217.9049999999997</v>
      </c>
      <c r="F261">
        <f t="shared" si="18"/>
        <v>68.595000000000255</v>
      </c>
      <c r="G261">
        <f t="shared" si="16"/>
        <v>1524.3333333333389</v>
      </c>
    </row>
    <row r="262" spans="1:7" x14ac:dyDescent="0.25">
      <c r="A262">
        <f t="shared" si="19"/>
        <v>-2700</v>
      </c>
      <c r="B262">
        <v>0.85</v>
      </c>
      <c r="C262">
        <v>0.03</v>
      </c>
      <c r="D262">
        <v>0</v>
      </c>
      <c r="E262">
        <f t="shared" si="17"/>
        <v>-2226.15</v>
      </c>
      <c r="F262">
        <f t="shared" si="18"/>
        <v>68.849999999999909</v>
      </c>
      <c r="G262">
        <f t="shared" si="16"/>
        <v>1529.999999999998</v>
      </c>
    </row>
    <row r="263" spans="1:7" x14ac:dyDescent="0.25">
      <c r="A263">
        <f t="shared" si="19"/>
        <v>-2710</v>
      </c>
      <c r="B263">
        <v>0.85</v>
      </c>
      <c r="C263">
        <v>0.03</v>
      </c>
      <c r="D263">
        <v>0</v>
      </c>
      <c r="E263">
        <f t="shared" si="17"/>
        <v>-2234.395</v>
      </c>
      <c r="F263">
        <f t="shared" si="18"/>
        <v>69.105000000000018</v>
      </c>
      <c r="G263">
        <f t="shared" si="16"/>
        <v>1535.6666666666672</v>
      </c>
    </row>
    <row r="264" spans="1:7" x14ac:dyDescent="0.25">
      <c r="A264">
        <f t="shared" si="19"/>
        <v>-2720</v>
      </c>
      <c r="B264">
        <v>0.85</v>
      </c>
      <c r="C264">
        <v>0.03</v>
      </c>
      <c r="D264">
        <v>0</v>
      </c>
      <c r="E264">
        <f t="shared" si="17"/>
        <v>-2242.64</v>
      </c>
      <c r="F264">
        <f t="shared" si="18"/>
        <v>69.360000000000127</v>
      </c>
      <c r="G264">
        <f t="shared" si="16"/>
        <v>1541.3333333333362</v>
      </c>
    </row>
    <row r="265" spans="1:7" x14ac:dyDescent="0.25">
      <c r="A265">
        <f t="shared" si="19"/>
        <v>-2730</v>
      </c>
      <c r="B265">
        <v>0.85</v>
      </c>
      <c r="C265">
        <v>0.03</v>
      </c>
      <c r="D265">
        <v>0</v>
      </c>
      <c r="E265">
        <f t="shared" si="17"/>
        <v>-2250.8849999999998</v>
      </c>
      <c r="F265">
        <f t="shared" si="18"/>
        <v>69.615000000000236</v>
      </c>
      <c r="G265">
        <f t="shared" si="16"/>
        <v>1547.0000000000052</v>
      </c>
    </row>
    <row r="266" spans="1:7" x14ac:dyDescent="0.25">
      <c r="A266">
        <f t="shared" si="19"/>
        <v>-2740</v>
      </c>
      <c r="B266">
        <v>0.85</v>
      </c>
      <c r="C266">
        <v>0.03</v>
      </c>
      <c r="D266">
        <v>0</v>
      </c>
      <c r="E266">
        <f t="shared" si="17"/>
        <v>-2259.13</v>
      </c>
      <c r="F266">
        <f t="shared" si="18"/>
        <v>69.869999999999891</v>
      </c>
      <c r="G266">
        <f t="shared" si="16"/>
        <v>1552.6666666666642</v>
      </c>
    </row>
    <row r="267" spans="1:7" x14ac:dyDescent="0.25">
      <c r="A267">
        <f t="shared" si="19"/>
        <v>-2750</v>
      </c>
      <c r="B267">
        <v>0.85</v>
      </c>
      <c r="C267">
        <v>0.03</v>
      </c>
      <c r="D267">
        <v>0</v>
      </c>
      <c r="E267">
        <f t="shared" si="17"/>
        <v>-2267.375</v>
      </c>
      <c r="F267">
        <f t="shared" si="18"/>
        <v>70.125</v>
      </c>
      <c r="G267">
        <f t="shared" si="16"/>
        <v>1558.3333333333335</v>
      </c>
    </row>
    <row r="268" spans="1:7" x14ac:dyDescent="0.25">
      <c r="A268">
        <f t="shared" si="19"/>
        <v>-2760</v>
      </c>
      <c r="B268">
        <v>0.85</v>
      </c>
      <c r="C268">
        <v>0.03</v>
      </c>
      <c r="D268">
        <v>0</v>
      </c>
      <c r="E268">
        <f t="shared" si="17"/>
        <v>-2275.62</v>
      </c>
      <c r="F268">
        <f t="shared" si="18"/>
        <v>70.380000000000109</v>
      </c>
      <c r="G268">
        <f t="shared" si="16"/>
        <v>1564.0000000000025</v>
      </c>
    </row>
    <row r="269" spans="1:7" x14ac:dyDescent="0.25">
      <c r="A269">
        <f t="shared" si="19"/>
        <v>-2770</v>
      </c>
      <c r="B269">
        <v>0.85</v>
      </c>
      <c r="C269">
        <v>0.03</v>
      </c>
      <c r="D269">
        <v>0</v>
      </c>
      <c r="E269">
        <f t="shared" si="17"/>
        <v>-2283.8649999999998</v>
      </c>
      <c r="F269">
        <f t="shared" si="18"/>
        <v>70.635000000000218</v>
      </c>
      <c r="G269">
        <f t="shared" si="16"/>
        <v>1569.6666666666715</v>
      </c>
    </row>
    <row r="270" spans="1:7" x14ac:dyDescent="0.25">
      <c r="A270">
        <f t="shared" si="19"/>
        <v>-2780</v>
      </c>
      <c r="B270">
        <v>0.85</v>
      </c>
      <c r="C270">
        <v>0.03</v>
      </c>
      <c r="D270">
        <v>0</v>
      </c>
      <c r="E270">
        <f t="shared" si="17"/>
        <v>-2292.11</v>
      </c>
      <c r="F270">
        <f t="shared" si="18"/>
        <v>70.889999999999873</v>
      </c>
      <c r="G270">
        <f t="shared" si="16"/>
        <v>1575.3333333333305</v>
      </c>
    </row>
    <row r="271" spans="1:7" x14ac:dyDescent="0.25">
      <c r="A271">
        <f t="shared" si="19"/>
        <v>-2790</v>
      </c>
      <c r="B271">
        <v>0.85</v>
      </c>
      <c r="C271">
        <v>0.03</v>
      </c>
      <c r="D271">
        <v>0</v>
      </c>
      <c r="E271">
        <f t="shared" si="17"/>
        <v>-2300.355</v>
      </c>
      <c r="F271">
        <f t="shared" si="18"/>
        <v>71.144999999999982</v>
      </c>
      <c r="G271">
        <f t="shared" si="16"/>
        <v>1580.9999999999995</v>
      </c>
    </row>
    <row r="272" spans="1:7" x14ac:dyDescent="0.25">
      <c r="A272">
        <f t="shared" si="19"/>
        <v>-2800</v>
      </c>
      <c r="B272">
        <v>0.85</v>
      </c>
      <c r="C272">
        <v>0.03</v>
      </c>
      <c r="D272">
        <v>0</v>
      </c>
      <c r="E272">
        <f t="shared" si="17"/>
        <v>-2308.6</v>
      </c>
      <c r="F272">
        <f t="shared" si="18"/>
        <v>71.400000000000091</v>
      </c>
      <c r="G272">
        <f t="shared" si="16"/>
        <v>1586.6666666666688</v>
      </c>
    </row>
    <row r="273" spans="1:7" x14ac:dyDescent="0.25">
      <c r="A273">
        <f t="shared" si="19"/>
        <v>-2810</v>
      </c>
      <c r="B273">
        <v>0.85</v>
      </c>
      <c r="C273">
        <v>0.03</v>
      </c>
      <c r="D273">
        <v>0</v>
      </c>
      <c r="E273">
        <f t="shared" si="17"/>
        <v>-2316.8449999999998</v>
      </c>
      <c r="F273">
        <f t="shared" si="18"/>
        <v>71.6550000000002</v>
      </c>
      <c r="G273">
        <f t="shared" si="16"/>
        <v>1592.3333333333378</v>
      </c>
    </row>
    <row r="274" spans="1:7" x14ac:dyDescent="0.25">
      <c r="A274">
        <f t="shared" si="19"/>
        <v>-2820</v>
      </c>
      <c r="B274">
        <v>0.85</v>
      </c>
      <c r="C274">
        <v>0.03</v>
      </c>
      <c r="D274">
        <v>0</v>
      </c>
      <c r="E274">
        <f t="shared" si="17"/>
        <v>-2325.09</v>
      </c>
      <c r="F274">
        <f t="shared" si="18"/>
        <v>71.909999999999854</v>
      </c>
      <c r="G274">
        <f t="shared" si="16"/>
        <v>1597.9999999999968</v>
      </c>
    </row>
    <row r="275" spans="1:7" x14ac:dyDescent="0.25">
      <c r="A275">
        <f t="shared" si="19"/>
        <v>-2830</v>
      </c>
      <c r="B275">
        <v>0.85</v>
      </c>
      <c r="C275">
        <v>0.03</v>
      </c>
      <c r="D275">
        <v>0</v>
      </c>
      <c r="E275">
        <f t="shared" si="17"/>
        <v>-2333.335</v>
      </c>
      <c r="F275">
        <f t="shared" si="18"/>
        <v>72.164999999999964</v>
      </c>
      <c r="G275">
        <f t="shared" si="16"/>
        <v>1603.6666666666658</v>
      </c>
    </row>
    <row r="276" spans="1:7" x14ac:dyDescent="0.25">
      <c r="A276">
        <f t="shared" si="19"/>
        <v>-2840</v>
      </c>
      <c r="B276">
        <v>0.85</v>
      </c>
      <c r="C276">
        <v>0.03</v>
      </c>
      <c r="D276">
        <v>0</v>
      </c>
      <c r="E276">
        <f t="shared" si="17"/>
        <v>-2341.58</v>
      </c>
      <c r="F276">
        <f t="shared" si="18"/>
        <v>72.420000000000073</v>
      </c>
      <c r="G276">
        <f t="shared" si="16"/>
        <v>1609.3333333333351</v>
      </c>
    </row>
    <row r="277" spans="1:7" x14ac:dyDescent="0.25">
      <c r="A277">
        <f t="shared" si="19"/>
        <v>-2850</v>
      </c>
      <c r="B277">
        <v>0.85</v>
      </c>
      <c r="C277">
        <v>0.03</v>
      </c>
      <c r="D277">
        <v>0</v>
      </c>
      <c r="E277">
        <f t="shared" si="17"/>
        <v>-2349.8249999999998</v>
      </c>
      <c r="F277">
        <f t="shared" si="18"/>
        <v>72.675000000000182</v>
      </c>
      <c r="G277">
        <f t="shared" si="16"/>
        <v>1615.0000000000041</v>
      </c>
    </row>
    <row r="278" spans="1:7" x14ac:dyDescent="0.25">
      <c r="A278">
        <f t="shared" si="19"/>
        <v>-2860</v>
      </c>
      <c r="B278">
        <v>0.85</v>
      </c>
      <c r="C278">
        <v>0.03</v>
      </c>
      <c r="D278">
        <v>0</v>
      </c>
      <c r="E278">
        <f t="shared" si="17"/>
        <v>-2358.0699999999997</v>
      </c>
      <c r="F278">
        <f t="shared" si="18"/>
        <v>72.930000000000291</v>
      </c>
      <c r="G278">
        <f t="shared" si="16"/>
        <v>1620.6666666666731</v>
      </c>
    </row>
    <row r="279" spans="1:7" x14ac:dyDescent="0.25">
      <c r="A279">
        <f t="shared" si="19"/>
        <v>-2870</v>
      </c>
      <c r="B279">
        <v>0.85</v>
      </c>
      <c r="C279">
        <v>0.03</v>
      </c>
      <c r="D279">
        <v>0</v>
      </c>
      <c r="E279">
        <f t="shared" si="17"/>
        <v>-2366.3150000000001</v>
      </c>
      <c r="F279">
        <f t="shared" si="18"/>
        <v>73.184999999999945</v>
      </c>
      <c r="G279">
        <f t="shared" si="16"/>
        <v>1626.3333333333321</v>
      </c>
    </row>
    <row r="280" spans="1:7" x14ac:dyDescent="0.25">
      <c r="A280">
        <f t="shared" si="19"/>
        <v>-2880</v>
      </c>
      <c r="B280">
        <v>0.85</v>
      </c>
      <c r="C280">
        <v>0.03</v>
      </c>
      <c r="D280">
        <v>0</v>
      </c>
      <c r="E280">
        <f t="shared" si="17"/>
        <v>-2374.56</v>
      </c>
      <c r="F280">
        <f t="shared" si="18"/>
        <v>73.440000000000055</v>
      </c>
      <c r="G280">
        <f t="shared" si="16"/>
        <v>1632.0000000000014</v>
      </c>
    </row>
    <row r="281" spans="1:7" x14ac:dyDescent="0.25">
      <c r="A281">
        <f t="shared" si="19"/>
        <v>-2890</v>
      </c>
      <c r="B281">
        <v>0.85</v>
      </c>
      <c r="C281">
        <v>0.03</v>
      </c>
      <c r="D281">
        <v>0</v>
      </c>
      <c r="E281">
        <f t="shared" si="17"/>
        <v>-2382.8049999999998</v>
      </c>
      <c r="F281">
        <f t="shared" si="18"/>
        <v>73.695000000000164</v>
      </c>
      <c r="G281">
        <f t="shared" si="16"/>
        <v>1637.6666666666704</v>
      </c>
    </row>
    <row r="282" spans="1:7" x14ac:dyDescent="0.25">
      <c r="A282">
        <f t="shared" si="19"/>
        <v>-2900</v>
      </c>
      <c r="B282">
        <v>0.85</v>
      </c>
      <c r="C282">
        <v>0.03</v>
      </c>
      <c r="D282">
        <v>0</v>
      </c>
      <c r="E282">
        <f t="shared" si="17"/>
        <v>-2391.0499999999997</v>
      </c>
      <c r="F282">
        <f t="shared" si="18"/>
        <v>73.950000000000273</v>
      </c>
      <c r="G282">
        <f t="shared" si="16"/>
        <v>1643.3333333333394</v>
      </c>
    </row>
    <row r="283" spans="1:7" x14ac:dyDescent="0.25">
      <c r="A283">
        <f t="shared" si="19"/>
        <v>-2910</v>
      </c>
      <c r="B283">
        <v>0.85</v>
      </c>
      <c r="C283">
        <v>0.03</v>
      </c>
      <c r="D283">
        <v>0</v>
      </c>
      <c r="E283">
        <f t="shared" si="17"/>
        <v>-2399.2950000000001</v>
      </c>
      <c r="F283">
        <f t="shared" si="18"/>
        <v>74.204999999999927</v>
      </c>
      <c r="G283">
        <f t="shared" si="16"/>
        <v>1648.9999999999984</v>
      </c>
    </row>
    <row r="284" spans="1:7" x14ac:dyDescent="0.25">
      <c r="A284">
        <f t="shared" si="19"/>
        <v>-2920</v>
      </c>
      <c r="B284">
        <v>0.85</v>
      </c>
      <c r="C284">
        <v>0.03</v>
      </c>
      <c r="D284">
        <v>0</v>
      </c>
      <c r="E284">
        <f t="shared" si="17"/>
        <v>-2407.54</v>
      </c>
      <c r="F284">
        <f t="shared" si="18"/>
        <v>74.460000000000036</v>
      </c>
      <c r="G284">
        <f t="shared" si="16"/>
        <v>1654.6666666666674</v>
      </c>
    </row>
    <row r="285" spans="1:7" x14ac:dyDescent="0.25">
      <c r="A285">
        <f t="shared" si="19"/>
        <v>-2930</v>
      </c>
      <c r="B285">
        <v>0.85</v>
      </c>
      <c r="C285">
        <v>0.03</v>
      </c>
      <c r="D285">
        <v>0</v>
      </c>
      <c r="E285">
        <f t="shared" si="17"/>
        <v>-2415.7849999999999</v>
      </c>
      <c r="F285">
        <f t="shared" si="18"/>
        <v>74.715000000000146</v>
      </c>
      <c r="G285">
        <f t="shared" si="16"/>
        <v>1660.3333333333367</v>
      </c>
    </row>
    <row r="286" spans="1:7" x14ac:dyDescent="0.25">
      <c r="A286">
        <f t="shared" si="19"/>
        <v>-2940</v>
      </c>
      <c r="B286">
        <v>0.85</v>
      </c>
      <c r="C286">
        <v>0.03</v>
      </c>
      <c r="D286">
        <v>0</v>
      </c>
      <c r="E286">
        <f t="shared" si="17"/>
        <v>-2424.0299999999997</v>
      </c>
      <c r="F286">
        <f t="shared" si="18"/>
        <v>74.970000000000255</v>
      </c>
      <c r="G286">
        <f t="shared" si="16"/>
        <v>1666.0000000000057</v>
      </c>
    </row>
    <row r="287" spans="1:7" x14ac:dyDescent="0.25">
      <c r="A287">
        <f t="shared" si="19"/>
        <v>-2950</v>
      </c>
      <c r="B287">
        <v>0.85</v>
      </c>
      <c r="C287">
        <v>0.03</v>
      </c>
      <c r="D287">
        <v>0</v>
      </c>
      <c r="E287">
        <f t="shared" si="17"/>
        <v>-2432.2750000000001</v>
      </c>
      <c r="F287">
        <f t="shared" si="18"/>
        <v>75.224999999999909</v>
      </c>
      <c r="G287">
        <f t="shared" ref="G287:G325" si="20">F287*2/0.09</f>
        <v>1671.6666666666647</v>
      </c>
    </row>
    <row r="288" spans="1:7" x14ac:dyDescent="0.25">
      <c r="A288">
        <f t="shared" si="19"/>
        <v>-2960</v>
      </c>
      <c r="B288">
        <v>0.85</v>
      </c>
      <c r="C288">
        <v>0.03</v>
      </c>
      <c r="D288">
        <v>0</v>
      </c>
      <c r="E288">
        <f t="shared" si="17"/>
        <v>-2440.52</v>
      </c>
      <c r="F288">
        <f t="shared" si="18"/>
        <v>75.480000000000018</v>
      </c>
      <c r="G288">
        <f t="shared" si="20"/>
        <v>1677.3333333333337</v>
      </c>
    </row>
    <row r="289" spans="1:7" x14ac:dyDescent="0.25">
      <c r="A289">
        <f t="shared" si="19"/>
        <v>-2970</v>
      </c>
      <c r="B289">
        <v>0.85</v>
      </c>
      <c r="C289">
        <v>0.03</v>
      </c>
      <c r="D289">
        <v>0</v>
      </c>
      <c r="E289">
        <f t="shared" si="17"/>
        <v>-2448.7649999999999</v>
      </c>
      <c r="F289">
        <f t="shared" si="18"/>
        <v>75.735000000000127</v>
      </c>
      <c r="G289">
        <f t="shared" si="20"/>
        <v>1683.000000000003</v>
      </c>
    </row>
    <row r="290" spans="1:7" x14ac:dyDescent="0.25">
      <c r="A290">
        <f t="shared" si="19"/>
        <v>-2980</v>
      </c>
      <c r="B290">
        <v>0.85</v>
      </c>
      <c r="C290">
        <v>0.03</v>
      </c>
      <c r="D290">
        <v>0</v>
      </c>
      <c r="E290">
        <f t="shared" si="17"/>
        <v>-2457.0099999999998</v>
      </c>
      <c r="F290">
        <f t="shared" si="18"/>
        <v>75.990000000000236</v>
      </c>
      <c r="G290">
        <f t="shared" si="20"/>
        <v>1688.666666666672</v>
      </c>
    </row>
    <row r="291" spans="1:7" x14ac:dyDescent="0.25">
      <c r="A291">
        <f t="shared" si="19"/>
        <v>-2990</v>
      </c>
      <c r="B291">
        <v>0.85</v>
      </c>
      <c r="C291">
        <v>0.03</v>
      </c>
      <c r="D291">
        <v>0</v>
      </c>
      <c r="E291">
        <f t="shared" si="17"/>
        <v>-2465.2550000000001</v>
      </c>
      <c r="F291">
        <f t="shared" si="18"/>
        <v>76.244999999999891</v>
      </c>
      <c r="G291">
        <f t="shared" si="20"/>
        <v>1694.333333333331</v>
      </c>
    </row>
    <row r="292" spans="1:7" x14ac:dyDescent="0.25">
      <c r="A292">
        <f t="shared" si="19"/>
        <v>-3000</v>
      </c>
      <c r="B292">
        <v>0.85</v>
      </c>
      <c r="C292">
        <v>0.03</v>
      </c>
      <c r="D292">
        <v>0</v>
      </c>
      <c r="E292">
        <f t="shared" si="17"/>
        <v>-2473.5</v>
      </c>
      <c r="F292">
        <f t="shared" si="18"/>
        <v>76.5</v>
      </c>
      <c r="G292">
        <f t="shared" si="20"/>
        <v>1700</v>
      </c>
    </row>
    <row r="293" spans="1:7" x14ac:dyDescent="0.25">
      <c r="A293">
        <f t="shared" si="19"/>
        <v>-3010</v>
      </c>
      <c r="B293">
        <v>0.85</v>
      </c>
      <c r="C293">
        <v>0.03</v>
      </c>
      <c r="D293">
        <v>0</v>
      </c>
      <c r="E293">
        <f t="shared" si="17"/>
        <v>-2481.7449999999999</v>
      </c>
      <c r="F293">
        <f t="shared" si="18"/>
        <v>76.755000000000109</v>
      </c>
      <c r="G293">
        <f t="shared" si="20"/>
        <v>1705.6666666666692</v>
      </c>
    </row>
    <row r="294" spans="1:7" x14ac:dyDescent="0.25">
      <c r="A294">
        <f t="shared" si="19"/>
        <v>-3020</v>
      </c>
      <c r="B294">
        <v>0.85</v>
      </c>
      <c r="C294">
        <v>0.03</v>
      </c>
      <c r="D294">
        <v>0</v>
      </c>
      <c r="E294">
        <f t="shared" si="17"/>
        <v>-2489.9899999999998</v>
      </c>
      <c r="F294">
        <f t="shared" si="18"/>
        <v>77.010000000000218</v>
      </c>
      <c r="G294">
        <f t="shared" si="20"/>
        <v>1711.3333333333383</v>
      </c>
    </row>
    <row r="295" spans="1:7" x14ac:dyDescent="0.25">
      <c r="A295">
        <f t="shared" si="19"/>
        <v>-3030</v>
      </c>
      <c r="B295">
        <v>0.85</v>
      </c>
      <c r="C295">
        <v>0.03</v>
      </c>
      <c r="D295">
        <v>0</v>
      </c>
      <c r="E295">
        <f t="shared" si="17"/>
        <v>-2498.2350000000001</v>
      </c>
      <c r="F295">
        <f t="shared" si="18"/>
        <v>77.264999999999873</v>
      </c>
      <c r="G295">
        <f t="shared" si="20"/>
        <v>1716.9999999999973</v>
      </c>
    </row>
    <row r="296" spans="1:7" x14ac:dyDescent="0.25">
      <c r="A296">
        <f t="shared" si="19"/>
        <v>-3040</v>
      </c>
      <c r="B296">
        <v>0.85</v>
      </c>
      <c r="C296">
        <v>0.03</v>
      </c>
      <c r="D296">
        <v>0</v>
      </c>
      <c r="E296">
        <f t="shared" si="17"/>
        <v>-2506.48</v>
      </c>
      <c r="F296">
        <f t="shared" si="18"/>
        <v>77.519999999999982</v>
      </c>
      <c r="G296">
        <f t="shared" si="20"/>
        <v>1722.6666666666663</v>
      </c>
    </row>
    <row r="297" spans="1:7" x14ac:dyDescent="0.25">
      <c r="A297">
        <f t="shared" si="19"/>
        <v>-3050</v>
      </c>
      <c r="B297">
        <v>0.85</v>
      </c>
      <c r="C297">
        <v>0.03</v>
      </c>
      <c r="D297">
        <v>0</v>
      </c>
      <c r="E297">
        <f t="shared" si="17"/>
        <v>-2514.7249999999999</v>
      </c>
      <c r="F297">
        <f t="shared" si="18"/>
        <v>77.775000000000091</v>
      </c>
      <c r="G297">
        <f t="shared" si="20"/>
        <v>1728.3333333333355</v>
      </c>
    </row>
    <row r="298" spans="1:7" x14ac:dyDescent="0.25">
      <c r="A298">
        <f t="shared" si="19"/>
        <v>-3060</v>
      </c>
      <c r="B298">
        <v>0.85</v>
      </c>
      <c r="C298">
        <v>0.03</v>
      </c>
      <c r="D298">
        <v>0</v>
      </c>
      <c r="E298">
        <f t="shared" si="17"/>
        <v>-2522.9699999999998</v>
      </c>
      <c r="F298">
        <f t="shared" si="18"/>
        <v>78.0300000000002</v>
      </c>
      <c r="G298">
        <f t="shared" si="20"/>
        <v>1734.0000000000045</v>
      </c>
    </row>
    <row r="299" spans="1:7" x14ac:dyDescent="0.25">
      <c r="A299">
        <f t="shared" si="19"/>
        <v>-3070</v>
      </c>
      <c r="B299">
        <v>0.85</v>
      </c>
      <c r="C299">
        <v>0.03</v>
      </c>
      <c r="D299">
        <v>0</v>
      </c>
      <c r="E299">
        <f t="shared" si="17"/>
        <v>-2531.2150000000001</v>
      </c>
      <c r="F299">
        <f t="shared" si="18"/>
        <v>78.284999999999854</v>
      </c>
      <c r="G299">
        <f t="shared" si="20"/>
        <v>1739.6666666666636</v>
      </c>
    </row>
    <row r="300" spans="1:7" x14ac:dyDescent="0.25">
      <c r="A300">
        <f t="shared" si="19"/>
        <v>-3080</v>
      </c>
      <c r="B300">
        <v>0.85</v>
      </c>
      <c r="C300">
        <v>0.03</v>
      </c>
      <c r="D300">
        <v>0</v>
      </c>
      <c r="E300">
        <f t="shared" si="17"/>
        <v>-2539.46</v>
      </c>
      <c r="F300">
        <f t="shared" si="18"/>
        <v>78.539999999999964</v>
      </c>
      <c r="G300">
        <f t="shared" si="20"/>
        <v>1745.3333333333326</v>
      </c>
    </row>
    <row r="301" spans="1:7" x14ac:dyDescent="0.25">
      <c r="A301">
        <f t="shared" si="19"/>
        <v>-3090</v>
      </c>
      <c r="B301">
        <v>0.85</v>
      </c>
      <c r="C301">
        <v>0.03</v>
      </c>
      <c r="D301">
        <v>0</v>
      </c>
      <c r="E301">
        <f t="shared" si="17"/>
        <v>-2547.7049999999999</v>
      </c>
      <c r="F301">
        <f t="shared" si="18"/>
        <v>78.795000000000073</v>
      </c>
      <c r="G301">
        <f t="shared" si="20"/>
        <v>1751.0000000000016</v>
      </c>
    </row>
    <row r="302" spans="1:7" x14ac:dyDescent="0.25">
      <c r="A302">
        <f t="shared" si="19"/>
        <v>-3100</v>
      </c>
      <c r="B302">
        <v>0.85</v>
      </c>
      <c r="C302">
        <v>0.03</v>
      </c>
      <c r="D302">
        <v>0</v>
      </c>
      <c r="E302">
        <f t="shared" si="17"/>
        <v>-2555.9499999999998</v>
      </c>
      <c r="F302">
        <f t="shared" si="18"/>
        <v>79.050000000000182</v>
      </c>
      <c r="G302">
        <f t="shared" si="20"/>
        <v>1756.6666666666708</v>
      </c>
    </row>
    <row r="303" spans="1:7" x14ac:dyDescent="0.25">
      <c r="A303">
        <f t="shared" si="19"/>
        <v>-3110</v>
      </c>
      <c r="B303">
        <v>0.85</v>
      </c>
      <c r="C303">
        <v>0.03</v>
      </c>
      <c r="D303">
        <v>0</v>
      </c>
      <c r="E303">
        <f t="shared" si="17"/>
        <v>-2564.1949999999997</v>
      </c>
      <c r="F303">
        <f t="shared" si="18"/>
        <v>79.305000000000291</v>
      </c>
      <c r="G303">
        <f t="shared" si="20"/>
        <v>1762.3333333333399</v>
      </c>
    </row>
    <row r="304" spans="1:7" x14ac:dyDescent="0.25">
      <c r="A304">
        <f t="shared" si="19"/>
        <v>-3120</v>
      </c>
      <c r="B304">
        <v>0.85</v>
      </c>
      <c r="C304">
        <v>0.03</v>
      </c>
      <c r="D304">
        <v>0</v>
      </c>
      <c r="E304">
        <f t="shared" si="17"/>
        <v>-2572.44</v>
      </c>
      <c r="F304">
        <f t="shared" si="18"/>
        <v>79.559999999999945</v>
      </c>
      <c r="G304">
        <f t="shared" si="20"/>
        <v>1767.9999999999989</v>
      </c>
    </row>
    <row r="305" spans="1:7" x14ac:dyDescent="0.25">
      <c r="A305">
        <f t="shared" si="19"/>
        <v>-3130</v>
      </c>
      <c r="B305">
        <v>0.85</v>
      </c>
      <c r="C305">
        <v>0.03</v>
      </c>
      <c r="D305">
        <v>0</v>
      </c>
      <c r="E305">
        <f t="shared" si="17"/>
        <v>-2580.6849999999999</v>
      </c>
      <c r="F305">
        <f t="shared" si="18"/>
        <v>79.815000000000055</v>
      </c>
      <c r="G305">
        <f t="shared" si="20"/>
        <v>1773.6666666666679</v>
      </c>
    </row>
    <row r="306" spans="1:7" x14ac:dyDescent="0.25">
      <c r="A306">
        <f t="shared" si="19"/>
        <v>-3140</v>
      </c>
      <c r="B306">
        <v>0.85</v>
      </c>
      <c r="C306">
        <v>0.03</v>
      </c>
      <c r="D306">
        <v>0</v>
      </c>
      <c r="E306">
        <f t="shared" si="17"/>
        <v>-2588.9299999999998</v>
      </c>
      <c r="F306">
        <f t="shared" si="18"/>
        <v>80.070000000000164</v>
      </c>
      <c r="G306">
        <f t="shared" si="20"/>
        <v>1779.3333333333371</v>
      </c>
    </row>
    <row r="307" spans="1:7" x14ac:dyDescent="0.25">
      <c r="A307">
        <f t="shared" si="19"/>
        <v>-3150</v>
      </c>
      <c r="B307">
        <v>0.85</v>
      </c>
      <c r="C307">
        <v>0.03</v>
      </c>
      <c r="D307">
        <v>0</v>
      </c>
      <c r="E307">
        <f t="shared" si="17"/>
        <v>-2597.1749999999997</v>
      </c>
      <c r="F307">
        <f t="shared" si="18"/>
        <v>80.325000000000273</v>
      </c>
      <c r="G307">
        <f t="shared" si="20"/>
        <v>1785.0000000000061</v>
      </c>
    </row>
    <row r="308" spans="1:7" x14ac:dyDescent="0.25">
      <c r="A308">
        <f t="shared" si="19"/>
        <v>-3160</v>
      </c>
      <c r="B308">
        <v>0.85</v>
      </c>
      <c r="C308">
        <v>0.03</v>
      </c>
      <c r="D308">
        <v>0</v>
      </c>
      <c r="E308">
        <f t="shared" si="17"/>
        <v>-2605.42</v>
      </c>
      <c r="F308">
        <f t="shared" si="18"/>
        <v>80.579999999999927</v>
      </c>
      <c r="G308">
        <f t="shared" si="20"/>
        <v>1790.6666666666652</v>
      </c>
    </row>
    <row r="309" spans="1:7" x14ac:dyDescent="0.25">
      <c r="A309">
        <f t="shared" si="19"/>
        <v>-3170</v>
      </c>
      <c r="B309">
        <v>0.85</v>
      </c>
      <c r="C309">
        <v>0.03</v>
      </c>
      <c r="D309">
        <v>0</v>
      </c>
      <c r="E309">
        <f t="shared" si="17"/>
        <v>-2613.665</v>
      </c>
      <c r="F309">
        <f t="shared" si="18"/>
        <v>80.835000000000036</v>
      </c>
      <c r="G309">
        <f t="shared" si="20"/>
        <v>1796.3333333333342</v>
      </c>
    </row>
    <row r="310" spans="1:7" x14ac:dyDescent="0.25">
      <c r="A310">
        <f t="shared" si="19"/>
        <v>-3180</v>
      </c>
      <c r="B310">
        <v>0.85</v>
      </c>
      <c r="C310">
        <v>0.03</v>
      </c>
      <c r="D310">
        <v>0</v>
      </c>
      <c r="E310">
        <f t="shared" si="17"/>
        <v>-2621.91</v>
      </c>
      <c r="F310">
        <f t="shared" si="18"/>
        <v>81.090000000000146</v>
      </c>
      <c r="G310">
        <f t="shared" si="20"/>
        <v>1802.0000000000034</v>
      </c>
    </row>
    <row r="311" spans="1:7" x14ac:dyDescent="0.25">
      <c r="A311">
        <f t="shared" si="19"/>
        <v>-3190</v>
      </c>
      <c r="B311">
        <v>0.85</v>
      </c>
      <c r="C311">
        <v>0.03</v>
      </c>
      <c r="D311">
        <v>0</v>
      </c>
      <c r="E311">
        <f t="shared" si="17"/>
        <v>-2630.1549999999997</v>
      </c>
      <c r="F311">
        <f t="shared" si="18"/>
        <v>81.345000000000255</v>
      </c>
      <c r="G311">
        <f t="shared" si="20"/>
        <v>1807.6666666666724</v>
      </c>
    </row>
    <row r="312" spans="1:7" x14ac:dyDescent="0.25">
      <c r="A312">
        <f t="shared" si="19"/>
        <v>-3200</v>
      </c>
      <c r="B312">
        <v>0.85</v>
      </c>
      <c r="C312">
        <v>0.03</v>
      </c>
      <c r="D312">
        <v>0</v>
      </c>
      <c r="E312">
        <f t="shared" si="17"/>
        <v>-2638.4</v>
      </c>
      <c r="F312">
        <f t="shared" si="18"/>
        <v>81.599999999999909</v>
      </c>
      <c r="G312">
        <f t="shared" si="20"/>
        <v>1813.3333333333314</v>
      </c>
    </row>
    <row r="313" spans="1:7" x14ac:dyDescent="0.25">
      <c r="A313">
        <f t="shared" si="19"/>
        <v>-3210</v>
      </c>
      <c r="B313">
        <v>0.85</v>
      </c>
      <c r="C313">
        <v>0.03</v>
      </c>
      <c r="D313">
        <v>0</v>
      </c>
      <c r="E313">
        <f t="shared" si="17"/>
        <v>-2646.645</v>
      </c>
      <c r="F313">
        <f t="shared" si="18"/>
        <v>81.855000000000018</v>
      </c>
      <c r="G313">
        <f t="shared" si="20"/>
        <v>1819.0000000000005</v>
      </c>
    </row>
    <row r="314" spans="1:7" x14ac:dyDescent="0.25">
      <c r="A314">
        <f t="shared" si="19"/>
        <v>-3220</v>
      </c>
      <c r="B314">
        <v>0.85</v>
      </c>
      <c r="C314">
        <v>0.03</v>
      </c>
      <c r="D314">
        <v>0</v>
      </c>
      <c r="E314">
        <f t="shared" si="17"/>
        <v>-2654.89</v>
      </c>
      <c r="F314">
        <f t="shared" si="18"/>
        <v>82.110000000000127</v>
      </c>
      <c r="G314">
        <f t="shared" si="20"/>
        <v>1824.6666666666695</v>
      </c>
    </row>
    <row r="315" spans="1:7" x14ac:dyDescent="0.25">
      <c r="A315">
        <f t="shared" si="19"/>
        <v>-3230</v>
      </c>
      <c r="B315">
        <v>0.85</v>
      </c>
      <c r="C315">
        <v>0.03</v>
      </c>
      <c r="D315">
        <v>0</v>
      </c>
      <c r="E315">
        <f t="shared" si="17"/>
        <v>-2663.1349999999998</v>
      </c>
      <c r="F315">
        <f t="shared" si="18"/>
        <v>82.365000000000236</v>
      </c>
      <c r="G315">
        <f t="shared" si="20"/>
        <v>1830.3333333333387</v>
      </c>
    </row>
    <row r="316" spans="1:7" x14ac:dyDescent="0.25">
      <c r="A316">
        <f t="shared" si="19"/>
        <v>-3240</v>
      </c>
      <c r="B316">
        <v>0.85</v>
      </c>
      <c r="C316">
        <v>0.03</v>
      </c>
      <c r="D316">
        <v>0</v>
      </c>
      <c r="E316">
        <f t="shared" si="17"/>
        <v>-2671.38</v>
      </c>
      <c r="F316">
        <f t="shared" si="18"/>
        <v>82.619999999999891</v>
      </c>
      <c r="G316">
        <f t="shared" si="20"/>
        <v>1835.9999999999977</v>
      </c>
    </row>
    <row r="317" spans="1:7" x14ac:dyDescent="0.25">
      <c r="A317">
        <f t="shared" si="19"/>
        <v>-3250</v>
      </c>
      <c r="B317">
        <v>0.85</v>
      </c>
      <c r="C317">
        <v>0.03</v>
      </c>
      <c r="D317">
        <v>0</v>
      </c>
      <c r="E317">
        <f t="shared" si="17"/>
        <v>-2679.625</v>
      </c>
      <c r="F317">
        <f t="shared" si="18"/>
        <v>82.875</v>
      </c>
      <c r="G317">
        <f t="shared" si="20"/>
        <v>1841.6666666666667</v>
      </c>
    </row>
    <row r="318" spans="1:7" x14ac:dyDescent="0.25">
      <c r="A318">
        <f t="shared" si="19"/>
        <v>-3260</v>
      </c>
      <c r="B318">
        <v>0.85</v>
      </c>
      <c r="C318">
        <v>0.03</v>
      </c>
      <c r="D318">
        <v>0</v>
      </c>
      <c r="E318">
        <f t="shared" si="17"/>
        <v>-2687.87</v>
      </c>
      <c r="F318">
        <f t="shared" si="18"/>
        <v>83.130000000000109</v>
      </c>
      <c r="G318">
        <f t="shared" si="20"/>
        <v>1847.3333333333358</v>
      </c>
    </row>
    <row r="319" spans="1:7" x14ac:dyDescent="0.25">
      <c r="A319">
        <f t="shared" si="19"/>
        <v>-3270</v>
      </c>
      <c r="B319">
        <v>0.85</v>
      </c>
      <c r="C319">
        <v>0.03</v>
      </c>
      <c r="D319">
        <v>0</v>
      </c>
      <c r="E319">
        <f t="shared" si="17"/>
        <v>-2696.1149999999998</v>
      </c>
      <c r="F319">
        <f t="shared" si="18"/>
        <v>83.385000000000218</v>
      </c>
      <c r="G319">
        <f t="shared" si="20"/>
        <v>1853.000000000005</v>
      </c>
    </row>
    <row r="320" spans="1:7" x14ac:dyDescent="0.25">
      <c r="A320">
        <f t="shared" si="19"/>
        <v>-3280</v>
      </c>
      <c r="B320">
        <v>0.85</v>
      </c>
      <c r="C320">
        <v>0.03</v>
      </c>
      <c r="D320">
        <v>0</v>
      </c>
      <c r="E320">
        <f t="shared" si="17"/>
        <v>-2704.36</v>
      </c>
      <c r="F320">
        <f t="shared" si="18"/>
        <v>83.639999999999873</v>
      </c>
      <c r="G320">
        <f t="shared" si="20"/>
        <v>1858.666666666664</v>
      </c>
    </row>
    <row r="321" spans="1:7" x14ac:dyDescent="0.25">
      <c r="A321">
        <f t="shared" si="19"/>
        <v>-3290</v>
      </c>
      <c r="B321">
        <v>0.85</v>
      </c>
      <c r="C321">
        <v>0.03</v>
      </c>
      <c r="D321">
        <v>0</v>
      </c>
      <c r="E321">
        <f t="shared" si="17"/>
        <v>-2712.605</v>
      </c>
      <c r="F321">
        <f t="shared" si="18"/>
        <v>83.894999999999982</v>
      </c>
      <c r="G321">
        <f t="shared" si="20"/>
        <v>1864.333333333333</v>
      </c>
    </row>
    <row r="322" spans="1:7" x14ac:dyDescent="0.25">
      <c r="A322">
        <f t="shared" si="19"/>
        <v>-3300</v>
      </c>
      <c r="B322">
        <v>0.85</v>
      </c>
      <c r="C322">
        <v>0.03</v>
      </c>
      <c r="D322">
        <v>0</v>
      </c>
      <c r="E322">
        <f t="shared" si="17"/>
        <v>-2720.85</v>
      </c>
      <c r="F322">
        <f t="shared" si="18"/>
        <v>84.150000000000091</v>
      </c>
      <c r="G322">
        <f t="shared" si="20"/>
        <v>1870.000000000002</v>
      </c>
    </row>
    <row r="323" spans="1:7" x14ac:dyDescent="0.25">
      <c r="A323">
        <f t="shared" si="19"/>
        <v>-3310</v>
      </c>
      <c r="B323">
        <v>0.85</v>
      </c>
      <c r="C323">
        <v>0.03</v>
      </c>
      <c r="D323">
        <v>0</v>
      </c>
      <c r="E323">
        <f t="shared" ref="E323:E325" si="21">(A323*B323+D323)*(1-C323)</f>
        <v>-2729.0949999999998</v>
      </c>
      <c r="F323">
        <f t="shared" ref="F323:F325" si="22">-(A323*B323-E323)</f>
        <v>84.4050000000002</v>
      </c>
      <c r="G323">
        <f t="shared" si="20"/>
        <v>1875.6666666666713</v>
      </c>
    </row>
    <row r="324" spans="1:7" x14ac:dyDescent="0.25">
      <c r="A324">
        <f t="shared" ref="A324:A325" si="23">A323-10</f>
        <v>-3320</v>
      </c>
      <c r="B324">
        <v>0.85</v>
      </c>
      <c r="C324">
        <v>0.03</v>
      </c>
      <c r="D324">
        <v>0</v>
      </c>
      <c r="E324">
        <f t="shared" si="21"/>
        <v>-2737.34</v>
      </c>
      <c r="F324">
        <f t="shared" si="22"/>
        <v>84.659999999999854</v>
      </c>
      <c r="G324">
        <f t="shared" si="20"/>
        <v>1881.3333333333301</v>
      </c>
    </row>
    <row r="325" spans="1:7" x14ac:dyDescent="0.25">
      <c r="A325">
        <f t="shared" si="23"/>
        <v>-3330</v>
      </c>
      <c r="B325">
        <v>0.85</v>
      </c>
      <c r="C325">
        <v>0.03</v>
      </c>
      <c r="D325">
        <v>0</v>
      </c>
      <c r="E325">
        <f t="shared" si="21"/>
        <v>-2745.585</v>
      </c>
      <c r="F325">
        <f t="shared" si="22"/>
        <v>84.914999999999964</v>
      </c>
      <c r="G325">
        <f t="shared" si="20"/>
        <v>1886.9999999999993</v>
      </c>
    </row>
  </sheetData>
  <pageMargins left="0.7" right="0.7" top="0.78740157499999996" bottom="0.78740157499999996"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Z134"/>
  <sheetViews>
    <sheetView topLeftCell="J40" zoomScale="86" zoomScaleNormal="86" zoomScaleSheetLayoutView="100" workbookViewId="0">
      <selection activeCell="P71" sqref="P71"/>
    </sheetView>
  </sheetViews>
  <sheetFormatPr baseColWidth="10" defaultColWidth="9.140625" defaultRowHeight="15" x14ac:dyDescent="0.25"/>
  <cols>
    <col min="1" max="1" width="83.42578125" bestFit="1" customWidth="1"/>
    <col min="2" max="3" width="15.5703125" bestFit="1" customWidth="1"/>
    <col min="4" max="4" width="17" bestFit="1" customWidth="1"/>
    <col min="5" max="6" width="17.140625" bestFit="1" customWidth="1"/>
    <col min="8" max="8" width="83.42578125" bestFit="1" customWidth="1"/>
    <col min="9" max="9" width="17.140625" customWidth="1"/>
    <col min="10" max="10" width="16.5703125" customWidth="1"/>
    <col min="11" max="11" width="20.140625" customWidth="1"/>
    <col min="12" max="12" width="11.85546875" customWidth="1"/>
    <col min="13" max="13" width="10.28515625" customWidth="1"/>
    <col min="15" max="15" width="85" bestFit="1" customWidth="1"/>
    <col min="16" max="19" width="16.140625" bestFit="1" customWidth="1"/>
    <col min="21" max="21" width="83.5703125" bestFit="1" customWidth="1"/>
    <col min="22" max="22" width="12.140625" bestFit="1" customWidth="1"/>
    <col min="23" max="23" width="14.5703125" bestFit="1" customWidth="1"/>
  </cols>
  <sheetData>
    <row r="1" spans="1:26" x14ac:dyDescent="0.25">
      <c r="A1" s="39" t="s">
        <v>12</v>
      </c>
      <c r="B1" s="12" t="s">
        <v>16</v>
      </c>
      <c r="C1" s="12" t="s">
        <v>14</v>
      </c>
      <c r="D1" s="12" t="s">
        <v>13</v>
      </c>
      <c r="E1" s="12" t="s">
        <v>15</v>
      </c>
      <c r="F1" s="12" t="s">
        <v>8</v>
      </c>
      <c r="H1" s="39" t="s">
        <v>12</v>
      </c>
      <c r="I1" s="20" t="s">
        <v>8</v>
      </c>
      <c r="J1" s="20" t="s">
        <v>8</v>
      </c>
      <c r="K1" s="20" t="s">
        <v>8</v>
      </c>
      <c r="L1" s="20" t="s">
        <v>8</v>
      </c>
      <c r="M1" s="20" t="s">
        <v>8</v>
      </c>
      <c r="O1" s="39" t="s">
        <v>12</v>
      </c>
      <c r="P1" s="12" t="s">
        <v>13</v>
      </c>
      <c r="Q1" s="12" t="s">
        <v>13</v>
      </c>
      <c r="R1" s="12" t="s">
        <v>13</v>
      </c>
      <c r="S1" s="12" t="s">
        <v>13</v>
      </c>
      <c r="U1" s="39" t="s">
        <v>12</v>
      </c>
      <c r="V1" s="20" t="s">
        <v>8</v>
      </c>
      <c r="W1" s="20" t="s">
        <v>14</v>
      </c>
      <c r="X1" s="20" t="s">
        <v>15</v>
      </c>
      <c r="Y1" s="20" t="s">
        <v>13</v>
      </c>
      <c r="Z1" s="20" t="s">
        <v>16</v>
      </c>
    </row>
    <row r="2" spans="1:26" x14ac:dyDescent="0.25">
      <c r="A2" s="39" t="s">
        <v>19</v>
      </c>
      <c r="B2" s="13" t="s">
        <v>29</v>
      </c>
      <c r="C2" s="13" t="s">
        <v>29</v>
      </c>
      <c r="D2" s="13" t="s">
        <v>29</v>
      </c>
      <c r="E2" s="13" t="s">
        <v>29</v>
      </c>
      <c r="F2" s="13" t="s">
        <v>29</v>
      </c>
      <c r="H2" s="39" t="s">
        <v>19</v>
      </c>
      <c r="I2" s="21" t="s">
        <v>31</v>
      </c>
      <c r="J2" s="21" t="s">
        <v>27</v>
      </c>
      <c r="K2" s="21" t="s">
        <v>32</v>
      </c>
      <c r="L2" s="21" t="s">
        <v>30</v>
      </c>
      <c r="M2" s="21" t="s">
        <v>34</v>
      </c>
      <c r="O2" s="39" t="s">
        <v>19</v>
      </c>
      <c r="P2" s="13" t="s">
        <v>29</v>
      </c>
      <c r="Q2" s="13" t="s">
        <v>28</v>
      </c>
      <c r="R2" s="13" t="s">
        <v>27</v>
      </c>
      <c r="S2" s="13" t="s">
        <v>26</v>
      </c>
      <c r="U2" s="39" t="s">
        <v>19</v>
      </c>
      <c r="V2" s="21" t="s">
        <v>29</v>
      </c>
      <c r="W2" s="21" t="s">
        <v>29</v>
      </c>
      <c r="X2" s="21" t="s">
        <v>29</v>
      </c>
      <c r="Y2" s="21" t="s">
        <v>29</v>
      </c>
      <c r="Z2" s="21" t="s">
        <v>29</v>
      </c>
    </row>
    <row r="3" spans="1:26" x14ac:dyDescent="0.25">
      <c r="A3" s="39" t="s">
        <v>87</v>
      </c>
      <c r="B3" s="14">
        <v>0.14000000000000001</v>
      </c>
      <c r="C3" s="14">
        <v>0.14000000000000001</v>
      </c>
      <c r="D3" s="14">
        <v>0.14000000000000001</v>
      </c>
      <c r="E3" s="14">
        <v>0.14000000000000001</v>
      </c>
      <c r="F3" s="14">
        <v>0.14000000000000001</v>
      </c>
      <c r="H3" s="39" t="s">
        <v>39</v>
      </c>
      <c r="I3" s="22">
        <v>0.14000000000000001</v>
      </c>
      <c r="J3" s="22">
        <v>0.14000000000000001</v>
      </c>
      <c r="K3" s="22">
        <v>0.14000000000000001</v>
      </c>
      <c r="L3" s="22">
        <v>0.14000000000000001</v>
      </c>
      <c r="M3" s="22">
        <v>0.14000000000000001</v>
      </c>
      <c r="O3" s="39" t="s">
        <v>355</v>
      </c>
      <c r="P3" s="14">
        <v>0.14000000000000001</v>
      </c>
      <c r="Q3" s="14">
        <v>0.14000000000000001</v>
      </c>
      <c r="R3" s="14">
        <v>0.14000000000000001</v>
      </c>
      <c r="S3" s="14">
        <v>0.14000000000000001</v>
      </c>
      <c r="U3" s="39" t="s">
        <v>39</v>
      </c>
      <c r="V3" s="22">
        <v>0.14000000000000001</v>
      </c>
      <c r="W3" s="22">
        <v>0.14000000000000001</v>
      </c>
      <c r="X3" s="22">
        <v>0.14000000000000001</v>
      </c>
      <c r="Y3" s="22">
        <v>0.14000000000000001</v>
      </c>
      <c r="Z3" s="22">
        <v>0.14000000000000001</v>
      </c>
    </row>
    <row r="4" spans="1:26" x14ac:dyDescent="0.25">
      <c r="A4" s="39" t="s">
        <v>36</v>
      </c>
      <c r="B4" s="14" t="s">
        <v>131</v>
      </c>
      <c r="C4" s="14" t="s">
        <v>131</v>
      </c>
      <c r="D4" s="14" t="s">
        <v>131</v>
      </c>
      <c r="E4" s="14" t="s">
        <v>131</v>
      </c>
      <c r="F4" s="14" t="s">
        <v>131</v>
      </c>
      <c r="H4" s="39" t="s">
        <v>36</v>
      </c>
      <c r="I4" s="22" t="s">
        <v>131</v>
      </c>
      <c r="J4" s="22" t="s">
        <v>131</v>
      </c>
      <c r="K4" s="22" t="s">
        <v>131</v>
      </c>
      <c r="L4" s="22" t="s">
        <v>131</v>
      </c>
      <c r="M4" s="22" t="s">
        <v>131</v>
      </c>
      <c r="O4" s="39" t="s">
        <v>36</v>
      </c>
      <c r="P4" s="14" t="s">
        <v>131</v>
      </c>
      <c r="Q4" s="14" t="s">
        <v>131</v>
      </c>
      <c r="R4" s="14" t="s">
        <v>131</v>
      </c>
      <c r="S4" s="14" t="s">
        <v>131</v>
      </c>
      <c r="U4" s="39" t="s">
        <v>36</v>
      </c>
      <c r="V4" s="22" t="s">
        <v>131</v>
      </c>
      <c r="W4" s="22" t="s">
        <v>131</v>
      </c>
      <c r="X4" s="22" t="s">
        <v>131</v>
      </c>
      <c r="Y4" s="22" t="s">
        <v>131</v>
      </c>
      <c r="Z4" s="22" t="s">
        <v>131</v>
      </c>
    </row>
    <row r="5" spans="1:26" ht="15.75" thickBot="1" x14ac:dyDescent="0.3">
      <c r="A5" s="39" t="s">
        <v>111</v>
      </c>
      <c r="B5" s="15">
        <v>0</v>
      </c>
      <c r="C5" s="15">
        <v>0</v>
      </c>
      <c r="D5" s="15">
        <v>0</v>
      </c>
      <c r="E5" s="15">
        <v>0</v>
      </c>
      <c r="F5" s="15">
        <v>0</v>
      </c>
      <c r="H5" s="39" t="s">
        <v>37</v>
      </c>
      <c r="I5" s="23">
        <v>0</v>
      </c>
      <c r="J5" s="23">
        <v>0</v>
      </c>
      <c r="K5" s="23">
        <v>0</v>
      </c>
      <c r="L5" s="23">
        <v>0</v>
      </c>
      <c r="M5" s="23">
        <v>0</v>
      </c>
      <c r="O5" s="39" t="s">
        <v>111</v>
      </c>
      <c r="P5" s="15">
        <v>0</v>
      </c>
      <c r="Q5" s="15">
        <v>0</v>
      </c>
      <c r="R5" s="15">
        <v>0</v>
      </c>
      <c r="S5" s="15">
        <v>0</v>
      </c>
      <c r="U5" s="39" t="s">
        <v>37</v>
      </c>
      <c r="V5" s="23">
        <v>0</v>
      </c>
      <c r="W5" s="23">
        <v>0</v>
      </c>
      <c r="X5" s="23">
        <v>0</v>
      </c>
      <c r="Y5" s="23">
        <v>0</v>
      </c>
      <c r="Z5" s="23">
        <v>0</v>
      </c>
    </row>
    <row r="6" spans="1:26" x14ac:dyDescent="0.25">
      <c r="A6" s="39" t="s">
        <v>11</v>
      </c>
      <c r="B6" s="13">
        <v>1</v>
      </c>
      <c r="C6" s="13">
        <v>1</v>
      </c>
      <c r="D6" s="13">
        <v>1</v>
      </c>
      <c r="E6" s="13">
        <v>1</v>
      </c>
      <c r="F6" s="13">
        <v>1</v>
      </c>
      <c r="H6" s="39" t="s">
        <v>11</v>
      </c>
      <c r="I6" s="21">
        <v>1</v>
      </c>
      <c r="J6" s="21">
        <v>1</v>
      </c>
      <c r="K6" s="21">
        <v>1</v>
      </c>
      <c r="L6" s="21">
        <v>1</v>
      </c>
      <c r="M6" s="21">
        <v>1</v>
      </c>
      <c r="O6" s="39" t="s">
        <v>11</v>
      </c>
      <c r="P6" s="13">
        <v>1</v>
      </c>
      <c r="Q6" s="13">
        <v>1</v>
      </c>
      <c r="R6" s="13">
        <v>1</v>
      </c>
      <c r="S6" s="13">
        <v>1</v>
      </c>
      <c r="U6" s="39" t="s">
        <v>11</v>
      </c>
      <c r="V6" s="21">
        <v>1</v>
      </c>
      <c r="W6" s="21">
        <v>1</v>
      </c>
      <c r="X6" s="21">
        <v>1</v>
      </c>
      <c r="Y6" s="21">
        <v>1</v>
      </c>
      <c r="Z6" s="21">
        <v>1</v>
      </c>
    </row>
    <row r="7" spans="1:26" ht="15.75" thickBot="1" x14ac:dyDescent="0.3">
      <c r="A7" s="39" t="s">
        <v>143</v>
      </c>
      <c r="B7" s="15">
        <v>0</v>
      </c>
      <c r="C7" s="15">
        <v>0</v>
      </c>
      <c r="D7" s="15">
        <v>0</v>
      </c>
      <c r="E7" s="15">
        <v>0</v>
      </c>
      <c r="F7" s="15">
        <v>0</v>
      </c>
      <c r="H7" s="39" t="s">
        <v>118</v>
      </c>
      <c r="I7" s="23">
        <v>0</v>
      </c>
      <c r="J7" s="23">
        <v>0</v>
      </c>
      <c r="K7" s="23">
        <v>0</v>
      </c>
      <c r="L7" s="23">
        <v>0</v>
      </c>
      <c r="M7" s="23">
        <v>0</v>
      </c>
      <c r="O7" s="39" t="s">
        <v>143</v>
      </c>
      <c r="P7" s="15">
        <v>0</v>
      </c>
      <c r="Q7" s="15">
        <v>0</v>
      </c>
      <c r="R7" s="15">
        <v>0</v>
      </c>
      <c r="S7" s="15">
        <v>0</v>
      </c>
      <c r="U7" s="39" t="s">
        <v>118</v>
      </c>
      <c r="V7" s="23">
        <v>0</v>
      </c>
      <c r="W7" s="23">
        <v>0</v>
      </c>
      <c r="X7" s="23">
        <v>0</v>
      </c>
      <c r="Y7" s="23">
        <v>0</v>
      </c>
      <c r="Z7" s="23">
        <v>0</v>
      </c>
    </row>
    <row r="8" spans="1:26" x14ac:dyDescent="0.25">
      <c r="A8" s="39" t="s">
        <v>144</v>
      </c>
      <c r="B8" s="13">
        <v>7</v>
      </c>
      <c r="C8" s="13">
        <v>7</v>
      </c>
      <c r="D8" s="13">
        <v>7</v>
      </c>
      <c r="E8" s="13">
        <v>7</v>
      </c>
      <c r="F8" s="13">
        <v>7</v>
      </c>
      <c r="H8" s="39" t="s">
        <v>119</v>
      </c>
      <c r="I8" s="21">
        <v>7</v>
      </c>
      <c r="J8" s="21">
        <v>7</v>
      </c>
      <c r="K8" s="21">
        <v>7</v>
      </c>
      <c r="L8" s="21">
        <v>7</v>
      </c>
      <c r="M8" s="21">
        <v>7</v>
      </c>
      <c r="O8" s="39" t="s">
        <v>144</v>
      </c>
      <c r="P8" s="13">
        <v>7</v>
      </c>
      <c r="Q8" s="13">
        <v>7</v>
      </c>
      <c r="R8" s="13">
        <v>7</v>
      </c>
      <c r="S8" s="13">
        <v>7</v>
      </c>
      <c r="U8" s="39" t="s">
        <v>119</v>
      </c>
      <c r="V8" s="21">
        <v>7</v>
      </c>
      <c r="W8" s="21">
        <v>7</v>
      </c>
      <c r="X8" s="21">
        <v>7</v>
      </c>
      <c r="Y8" s="21">
        <v>7</v>
      </c>
      <c r="Z8" s="21">
        <v>7</v>
      </c>
    </row>
    <row r="9" spans="1:26" x14ac:dyDescent="0.25">
      <c r="A9" s="39" t="s">
        <v>41</v>
      </c>
      <c r="B9" s="13">
        <v>0</v>
      </c>
      <c r="C9" s="13">
        <v>0</v>
      </c>
      <c r="D9" s="13">
        <v>0</v>
      </c>
      <c r="E9" s="13">
        <v>0</v>
      </c>
      <c r="F9" s="13">
        <v>0</v>
      </c>
      <c r="H9" s="39" t="s">
        <v>41</v>
      </c>
      <c r="I9" s="21">
        <v>0</v>
      </c>
      <c r="J9" s="21">
        <v>0</v>
      </c>
      <c r="K9" s="21">
        <v>0</v>
      </c>
      <c r="L9" s="21">
        <v>0</v>
      </c>
      <c r="M9" s="21">
        <v>0</v>
      </c>
      <c r="O9" s="39" t="s">
        <v>41</v>
      </c>
      <c r="P9" s="13">
        <v>0</v>
      </c>
      <c r="Q9" s="13">
        <v>0</v>
      </c>
      <c r="R9" s="13">
        <v>0</v>
      </c>
      <c r="S9" s="13">
        <v>0</v>
      </c>
      <c r="U9" s="39" t="s">
        <v>41</v>
      </c>
      <c r="V9" s="21">
        <v>0</v>
      </c>
      <c r="W9" s="21">
        <v>0</v>
      </c>
      <c r="X9" s="21">
        <v>0</v>
      </c>
      <c r="Y9" s="21">
        <v>0</v>
      </c>
      <c r="Z9" s="21">
        <v>0</v>
      </c>
    </row>
    <row r="10" spans="1:26" x14ac:dyDescent="0.25">
      <c r="A10" s="39" t="s">
        <v>42</v>
      </c>
      <c r="B10" s="13">
        <v>0</v>
      </c>
      <c r="C10" s="13">
        <v>0</v>
      </c>
      <c r="D10" s="13">
        <v>0</v>
      </c>
      <c r="E10" s="13">
        <v>0</v>
      </c>
      <c r="F10" s="13">
        <v>0</v>
      </c>
      <c r="H10" s="39" t="s">
        <v>112</v>
      </c>
      <c r="I10" s="21">
        <v>0</v>
      </c>
      <c r="J10" s="21">
        <v>0</v>
      </c>
      <c r="K10" s="21">
        <v>0</v>
      </c>
      <c r="L10" s="21">
        <v>0</v>
      </c>
      <c r="M10" s="21">
        <v>0</v>
      </c>
      <c r="O10" s="39" t="s">
        <v>42</v>
      </c>
      <c r="P10" s="13">
        <v>0</v>
      </c>
      <c r="Q10" s="13">
        <v>0</v>
      </c>
      <c r="R10" s="13">
        <v>0</v>
      </c>
      <c r="S10" s="13">
        <v>0</v>
      </c>
      <c r="U10" s="39" t="s">
        <v>112</v>
      </c>
      <c r="V10" s="21">
        <v>0</v>
      </c>
      <c r="W10" s="21">
        <v>0</v>
      </c>
      <c r="X10" s="21">
        <v>0</v>
      </c>
      <c r="Y10" s="21">
        <v>0</v>
      </c>
      <c r="Z10" s="21">
        <v>0</v>
      </c>
    </row>
    <row r="11" spans="1:26" x14ac:dyDescent="0.25">
      <c r="A11" s="39" t="s">
        <v>110</v>
      </c>
      <c r="B11" s="14">
        <v>0</v>
      </c>
      <c r="C11" s="14">
        <v>0</v>
      </c>
      <c r="D11" s="14">
        <v>0</v>
      </c>
      <c r="E11" s="14">
        <v>0</v>
      </c>
      <c r="F11" s="14">
        <v>0</v>
      </c>
      <c r="H11" s="39" t="s">
        <v>142</v>
      </c>
      <c r="I11" s="22">
        <v>0</v>
      </c>
      <c r="J11" s="22">
        <v>0</v>
      </c>
      <c r="K11" s="22">
        <v>0</v>
      </c>
      <c r="L11" s="22">
        <v>0</v>
      </c>
      <c r="M11" s="22">
        <v>0</v>
      </c>
      <c r="O11" s="39" t="s">
        <v>110</v>
      </c>
      <c r="P11" s="14">
        <v>0</v>
      </c>
      <c r="Q11" s="14">
        <v>0</v>
      </c>
      <c r="R11" s="14">
        <v>0</v>
      </c>
      <c r="S11" s="14">
        <v>0</v>
      </c>
      <c r="U11" s="39" t="s">
        <v>142</v>
      </c>
      <c r="V11" s="22">
        <v>0</v>
      </c>
      <c r="W11" s="22">
        <v>0</v>
      </c>
      <c r="X11" s="22">
        <v>0</v>
      </c>
      <c r="Y11" s="22">
        <v>0</v>
      </c>
      <c r="Z11" s="22">
        <v>0</v>
      </c>
    </row>
    <row r="12" spans="1:26" x14ac:dyDescent="0.25">
      <c r="A12" s="39" t="s">
        <v>38</v>
      </c>
      <c r="B12" s="13">
        <v>0</v>
      </c>
      <c r="C12" s="13">
        <v>0</v>
      </c>
      <c r="D12" s="13">
        <v>0</v>
      </c>
      <c r="E12" s="13">
        <v>0</v>
      </c>
      <c r="F12" s="13">
        <v>0</v>
      </c>
      <c r="H12" s="39" t="s">
        <v>38</v>
      </c>
      <c r="I12" s="21">
        <v>0</v>
      </c>
      <c r="J12" s="21">
        <v>0</v>
      </c>
      <c r="K12" s="21">
        <v>0</v>
      </c>
      <c r="L12" s="21">
        <v>0</v>
      </c>
      <c r="M12" s="21">
        <v>0</v>
      </c>
      <c r="O12" s="39" t="s">
        <v>38</v>
      </c>
      <c r="P12" s="13">
        <v>0</v>
      </c>
      <c r="Q12" s="13">
        <v>0</v>
      </c>
      <c r="R12" s="13">
        <v>0</v>
      </c>
      <c r="S12" s="13">
        <v>0</v>
      </c>
      <c r="U12" s="39" t="s">
        <v>38</v>
      </c>
      <c r="V12" s="21">
        <v>0</v>
      </c>
      <c r="W12" s="21">
        <v>0</v>
      </c>
      <c r="X12" s="21">
        <v>0</v>
      </c>
      <c r="Y12" s="21">
        <v>0</v>
      </c>
      <c r="Z12" s="21">
        <v>0</v>
      </c>
    </row>
    <row r="13" spans="1:26" x14ac:dyDescent="0.25">
      <c r="A13" s="39" t="s">
        <v>141</v>
      </c>
      <c r="B13" s="14">
        <v>0</v>
      </c>
      <c r="C13" s="14">
        <v>0</v>
      </c>
      <c r="D13" s="14">
        <v>0</v>
      </c>
      <c r="E13" s="14">
        <v>0</v>
      </c>
      <c r="F13" s="14">
        <v>0</v>
      </c>
      <c r="H13" s="39" t="s">
        <v>113</v>
      </c>
      <c r="I13" s="22">
        <v>0</v>
      </c>
      <c r="J13" s="22">
        <v>0</v>
      </c>
      <c r="K13" s="22">
        <v>0</v>
      </c>
      <c r="L13" s="22">
        <v>0</v>
      </c>
      <c r="M13" s="22">
        <v>0</v>
      </c>
      <c r="O13" s="39" t="s">
        <v>141</v>
      </c>
      <c r="P13" s="14">
        <v>0</v>
      </c>
      <c r="Q13" s="14">
        <v>0</v>
      </c>
      <c r="R13" s="14">
        <v>0</v>
      </c>
      <c r="S13" s="14">
        <v>0</v>
      </c>
      <c r="U13" s="39" t="s">
        <v>113</v>
      </c>
      <c r="V13" s="22">
        <v>0</v>
      </c>
      <c r="W13" s="22">
        <v>0</v>
      </c>
      <c r="X13" s="22">
        <v>0</v>
      </c>
      <c r="Y13" s="22">
        <v>0</v>
      </c>
      <c r="Z13" s="22">
        <v>0</v>
      </c>
    </row>
    <row r="14" spans="1:26" ht="15.75" thickBot="1" x14ac:dyDescent="0.3">
      <c r="A14" s="39" t="s">
        <v>145</v>
      </c>
      <c r="B14" s="15">
        <v>1</v>
      </c>
      <c r="C14" s="15">
        <v>1</v>
      </c>
      <c r="D14" s="15">
        <v>1</v>
      </c>
      <c r="E14" s="15">
        <v>1</v>
      </c>
      <c r="F14" s="15">
        <v>1</v>
      </c>
      <c r="H14" s="39"/>
      <c r="I14" s="23"/>
      <c r="J14" s="23"/>
      <c r="K14" s="23"/>
      <c r="L14" s="23"/>
      <c r="M14" s="23"/>
      <c r="O14" s="39" t="s">
        <v>145</v>
      </c>
      <c r="P14" s="15">
        <v>1</v>
      </c>
      <c r="Q14" s="15">
        <v>1</v>
      </c>
      <c r="R14" s="15">
        <v>1</v>
      </c>
      <c r="S14" s="15">
        <v>1</v>
      </c>
      <c r="U14" s="39"/>
      <c r="V14" s="23"/>
      <c r="W14" s="23"/>
      <c r="X14" s="23"/>
      <c r="Y14" s="23"/>
      <c r="Z14" s="23"/>
    </row>
    <row r="15" spans="1:26" x14ac:dyDescent="0.25">
      <c r="A15" s="40" t="s">
        <v>96</v>
      </c>
      <c r="B15" s="26">
        <v>0.9</v>
      </c>
      <c r="C15" s="26">
        <v>0.9</v>
      </c>
      <c r="D15" s="26">
        <v>0.9</v>
      </c>
      <c r="E15" s="26">
        <v>0.9</v>
      </c>
      <c r="F15" s="26">
        <v>0.9</v>
      </c>
      <c r="H15" s="40" t="s">
        <v>96</v>
      </c>
      <c r="I15" s="21">
        <v>0.9</v>
      </c>
      <c r="J15" s="21">
        <v>0.9</v>
      </c>
      <c r="K15" s="21">
        <v>0.9</v>
      </c>
      <c r="L15" s="21">
        <v>0.9</v>
      </c>
      <c r="M15" s="21">
        <v>0.9</v>
      </c>
      <c r="O15" s="40" t="s">
        <v>96</v>
      </c>
      <c r="P15" s="26">
        <v>0.9</v>
      </c>
      <c r="Q15" s="26">
        <v>0.9</v>
      </c>
      <c r="R15" s="26">
        <v>0.9</v>
      </c>
      <c r="S15" s="26">
        <v>0.9</v>
      </c>
      <c r="U15" s="40" t="s">
        <v>96</v>
      </c>
      <c r="V15" s="21">
        <v>0.9</v>
      </c>
      <c r="W15" s="21">
        <v>0.9</v>
      </c>
      <c r="X15" s="21">
        <v>0.9</v>
      </c>
      <c r="Y15" s="21">
        <v>0.9</v>
      </c>
      <c r="Z15" s="21">
        <v>0.9</v>
      </c>
    </row>
    <row r="16" spans="1:26" x14ac:dyDescent="0.25">
      <c r="A16" s="41" t="s">
        <v>84</v>
      </c>
      <c r="B16" s="24" t="s">
        <v>97</v>
      </c>
      <c r="C16" s="24" t="s">
        <v>97</v>
      </c>
      <c r="D16" s="24" t="s">
        <v>97</v>
      </c>
      <c r="E16" s="24" t="s">
        <v>97</v>
      </c>
      <c r="F16" s="24" t="s">
        <v>97</v>
      </c>
      <c r="H16" s="41" t="s">
        <v>84</v>
      </c>
      <c r="I16" s="21" t="s">
        <v>99</v>
      </c>
      <c r="J16" s="21" t="s">
        <v>99</v>
      </c>
      <c r="K16" s="21" t="s">
        <v>99</v>
      </c>
      <c r="L16" s="21" t="s">
        <v>99</v>
      </c>
      <c r="M16" s="21" t="s">
        <v>99</v>
      </c>
      <c r="O16" s="41" t="s">
        <v>84</v>
      </c>
      <c r="P16" s="24" t="s">
        <v>97</v>
      </c>
      <c r="Q16" s="24" t="s">
        <v>97</v>
      </c>
      <c r="R16" s="24" t="s">
        <v>97</v>
      </c>
      <c r="S16" s="24" t="s">
        <v>97</v>
      </c>
      <c r="U16" s="41" t="s">
        <v>84</v>
      </c>
      <c r="V16" s="21" t="s">
        <v>99</v>
      </c>
      <c r="W16" s="21" t="s">
        <v>99</v>
      </c>
      <c r="X16" s="21" t="s">
        <v>99</v>
      </c>
      <c r="Y16" s="21" t="s">
        <v>99</v>
      </c>
      <c r="Z16" s="21" t="s">
        <v>99</v>
      </c>
    </row>
    <row r="17" spans="1:26" x14ac:dyDescent="0.25">
      <c r="A17" s="41" t="s">
        <v>103</v>
      </c>
      <c r="B17" s="25">
        <v>0.14000000000000001</v>
      </c>
      <c r="C17" s="25">
        <v>0.14000000000000001</v>
      </c>
      <c r="D17" s="25">
        <v>0.14000000000000001</v>
      </c>
      <c r="E17" s="25">
        <v>0.14000000000000001</v>
      </c>
      <c r="F17" s="25">
        <v>0.14000000000000001</v>
      </c>
      <c r="H17" s="41" t="s">
        <v>103</v>
      </c>
      <c r="I17" s="22">
        <v>0.14000000000000001</v>
      </c>
      <c r="J17" s="22">
        <v>0.14000000000000001</v>
      </c>
      <c r="K17" s="22">
        <v>0.14000000000000001</v>
      </c>
      <c r="L17" s="22">
        <v>0.14000000000000001</v>
      </c>
      <c r="M17" s="22">
        <v>0.14000000000000001</v>
      </c>
      <c r="O17" s="41" t="s">
        <v>103</v>
      </c>
      <c r="P17" s="25">
        <v>0.14000000000000001</v>
      </c>
      <c r="Q17" s="25">
        <v>0.14000000000000001</v>
      </c>
      <c r="R17" s="25">
        <v>0.14000000000000001</v>
      </c>
      <c r="S17" s="25">
        <v>0.14000000000000001</v>
      </c>
      <c r="U17" s="41" t="s">
        <v>103</v>
      </c>
      <c r="V17" s="22">
        <v>0.14000000000000001</v>
      </c>
      <c r="W17" s="22">
        <v>0.14000000000000001</v>
      </c>
      <c r="X17" s="22">
        <v>0.14000000000000001</v>
      </c>
      <c r="Y17" s="22">
        <v>0.14000000000000001</v>
      </c>
      <c r="Z17" s="22">
        <v>0.14000000000000001</v>
      </c>
    </row>
    <row r="18" spans="1:26" ht="15.75" thickBot="1" x14ac:dyDescent="0.3">
      <c r="A18" s="41" t="s">
        <v>305</v>
      </c>
      <c r="B18" s="15">
        <v>0</v>
      </c>
      <c r="C18" s="15">
        <v>0</v>
      </c>
      <c r="D18" s="15">
        <v>0</v>
      </c>
      <c r="E18" s="15">
        <v>0</v>
      </c>
      <c r="F18" s="15">
        <v>0</v>
      </c>
      <c r="H18" s="41" t="s">
        <v>305</v>
      </c>
      <c r="I18" s="21">
        <v>0</v>
      </c>
      <c r="J18" s="21">
        <v>0</v>
      </c>
      <c r="K18" s="21">
        <v>0</v>
      </c>
      <c r="L18" s="21">
        <v>0</v>
      </c>
      <c r="M18" s="21">
        <v>0</v>
      </c>
      <c r="O18" s="41" t="s">
        <v>305</v>
      </c>
      <c r="P18" s="15">
        <v>0</v>
      </c>
      <c r="Q18" s="15">
        <v>0</v>
      </c>
      <c r="R18" s="15">
        <v>0</v>
      </c>
      <c r="S18" s="15">
        <v>0</v>
      </c>
      <c r="U18" s="41" t="s">
        <v>305</v>
      </c>
      <c r="V18" s="21">
        <v>0</v>
      </c>
      <c r="W18" s="21">
        <v>0</v>
      </c>
      <c r="X18" s="21">
        <v>0</v>
      </c>
      <c r="Y18" s="21">
        <v>0</v>
      </c>
      <c r="Z18" s="21">
        <v>0</v>
      </c>
    </row>
    <row r="19" spans="1:26" x14ac:dyDescent="0.25">
      <c r="A19" s="60"/>
      <c r="B19" s="61">
        <v>378</v>
      </c>
      <c r="C19" s="61">
        <v>219</v>
      </c>
      <c r="D19" s="61">
        <v>348</v>
      </c>
      <c r="E19" s="61">
        <v>329</v>
      </c>
      <c r="F19" s="61">
        <v>21</v>
      </c>
      <c r="H19" s="60"/>
      <c r="I19" s="21"/>
      <c r="J19" s="21"/>
      <c r="K19" s="21"/>
      <c r="L19" s="21"/>
      <c r="M19" s="21"/>
      <c r="O19" s="60"/>
      <c r="P19" s="61">
        <v>348</v>
      </c>
      <c r="Q19" s="61">
        <v>278</v>
      </c>
      <c r="R19" s="61">
        <v>348</v>
      </c>
      <c r="S19" s="61">
        <v>348</v>
      </c>
      <c r="U19" s="60"/>
      <c r="V19" s="21"/>
      <c r="W19" s="21"/>
      <c r="X19" s="21"/>
      <c r="Y19" s="21"/>
      <c r="Z19" s="21"/>
    </row>
    <row r="20" spans="1:26" x14ac:dyDescent="0.25">
      <c r="A20" s="60"/>
      <c r="B20" s="61">
        <v>1575</v>
      </c>
      <c r="C20" s="61">
        <v>1575</v>
      </c>
      <c r="D20" s="61">
        <v>1575</v>
      </c>
      <c r="E20" s="61">
        <v>1575</v>
      </c>
      <c r="F20" s="61">
        <v>1575</v>
      </c>
      <c r="H20" s="60"/>
      <c r="I20" s="21"/>
      <c r="J20" s="21"/>
      <c r="K20" s="21"/>
      <c r="L20" s="21"/>
      <c r="M20" s="21"/>
      <c r="O20" s="60" t="s">
        <v>358</v>
      </c>
      <c r="P20" s="61">
        <v>1575</v>
      </c>
      <c r="Q20" s="61">
        <v>1575</v>
      </c>
      <c r="R20" s="61">
        <v>1575</v>
      </c>
      <c r="S20" s="61">
        <v>1575</v>
      </c>
      <c r="U20" s="60"/>
      <c r="V20" s="21"/>
      <c r="W20" s="21"/>
      <c r="X20" s="21"/>
      <c r="Y20" s="21"/>
      <c r="Z20" s="21"/>
    </row>
    <row r="21" spans="1:26" ht="15.75" thickBot="1" x14ac:dyDescent="0.3">
      <c r="A21" s="39"/>
      <c r="B21" s="6"/>
      <c r="C21" s="6"/>
      <c r="D21" s="6"/>
      <c r="E21" s="6"/>
      <c r="F21" s="6"/>
      <c r="H21" s="39"/>
      <c r="I21" s="21"/>
      <c r="J21" s="21"/>
      <c r="K21" s="21"/>
      <c r="L21" s="21"/>
      <c r="M21" s="21"/>
      <c r="N21" s="2"/>
      <c r="O21" s="39" t="s">
        <v>357</v>
      </c>
      <c r="P21" s="6"/>
      <c r="Q21" s="6"/>
      <c r="R21" s="6"/>
      <c r="S21" s="6"/>
      <c r="U21" s="39"/>
      <c r="V21" s="21"/>
      <c r="W21" s="21"/>
      <c r="X21" s="21"/>
      <c r="Y21" s="21"/>
      <c r="Z21" s="21"/>
    </row>
    <row r="22" spans="1:26" x14ac:dyDescent="0.25">
      <c r="A22" s="42" t="s">
        <v>90</v>
      </c>
      <c r="B22" s="68">
        <v>2782</v>
      </c>
      <c r="C22" s="69">
        <v>2430.5</v>
      </c>
      <c r="D22" s="68">
        <v>2605.6</v>
      </c>
      <c r="E22" s="68">
        <v>2748</v>
      </c>
      <c r="F22" s="68">
        <v>2162.4</v>
      </c>
      <c r="H22" s="42" t="s">
        <v>66</v>
      </c>
      <c r="I22" s="29">
        <v>2056.4</v>
      </c>
      <c r="J22" s="30">
        <v>2056.4</v>
      </c>
      <c r="K22" s="30">
        <v>2056.4</v>
      </c>
      <c r="L22" s="30">
        <v>2056.4</v>
      </c>
      <c r="M22" s="30">
        <v>2056.4</v>
      </c>
      <c r="N22" s="2"/>
      <c r="O22" s="42" t="s">
        <v>90</v>
      </c>
      <c r="P22" s="68">
        <v>2605.6</v>
      </c>
      <c r="Q22" s="69">
        <v>2605.6</v>
      </c>
      <c r="R22" s="68">
        <v>2605.6</v>
      </c>
      <c r="S22" s="68">
        <v>2605.6</v>
      </c>
      <c r="U22" s="42" t="s">
        <v>66</v>
      </c>
      <c r="V22" s="29">
        <v>2056.4</v>
      </c>
      <c r="W22" s="30">
        <v>2170.0833333333335</v>
      </c>
      <c r="X22" s="30">
        <v>2364.5250000000001</v>
      </c>
      <c r="Y22" s="30">
        <v>2238.3000000000002</v>
      </c>
      <c r="Z22" s="30">
        <v>2224.7999999999997</v>
      </c>
    </row>
    <row r="23" spans="1:26" x14ac:dyDescent="0.25">
      <c r="A23" s="40" t="s">
        <v>135</v>
      </c>
      <c r="B23" s="31">
        <v>0.9</v>
      </c>
      <c r="C23" s="31">
        <v>0.9</v>
      </c>
      <c r="D23" s="31">
        <v>0.9</v>
      </c>
      <c r="E23" s="31">
        <v>0.9</v>
      </c>
      <c r="F23" s="31">
        <v>0.9</v>
      </c>
      <c r="H23" s="40" t="s">
        <v>135</v>
      </c>
      <c r="I23" s="31">
        <v>0.9</v>
      </c>
      <c r="J23" s="31">
        <v>0.9</v>
      </c>
      <c r="K23" s="31">
        <v>0.9</v>
      </c>
      <c r="L23" s="31">
        <v>0.9</v>
      </c>
      <c r="M23" s="31">
        <v>0.9</v>
      </c>
      <c r="N23" s="2"/>
      <c r="O23" s="40" t="s">
        <v>135</v>
      </c>
      <c r="P23" s="31">
        <v>0.9</v>
      </c>
      <c r="Q23" s="31">
        <v>0.9</v>
      </c>
      <c r="R23" s="31">
        <v>0.9</v>
      </c>
      <c r="S23" s="31">
        <v>0.9</v>
      </c>
      <c r="U23" s="40" t="s">
        <v>135</v>
      </c>
      <c r="V23" s="31">
        <v>0.9</v>
      </c>
      <c r="W23" s="31">
        <v>0.9</v>
      </c>
      <c r="X23" s="31">
        <v>0.9</v>
      </c>
      <c r="Y23" s="31">
        <v>0.9</v>
      </c>
      <c r="Z23" s="31">
        <v>0.9</v>
      </c>
    </row>
    <row r="24" spans="1:26" x14ac:dyDescent="0.25">
      <c r="A24" s="41" t="s">
        <v>0</v>
      </c>
      <c r="B24" s="70">
        <v>0.22000000000000003</v>
      </c>
      <c r="C24" s="70">
        <v>0.18000000000000002</v>
      </c>
      <c r="D24" s="70">
        <v>0.18000000000000002</v>
      </c>
      <c r="E24" s="70">
        <v>0.23</v>
      </c>
      <c r="F24" s="70">
        <v>0.18000000000000002</v>
      </c>
      <c r="H24" s="41" t="s">
        <v>0</v>
      </c>
      <c r="I24" s="37">
        <v>0.14000000000000001</v>
      </c>
      <c r="J24" s="37">
        <v>0.14000000000000001</v>
      </c>
      <c r="K24" s="37">
        <v>0.14000000000000001</v>
      </c>
      <c r="L24" s="37">
        <v>0.14000000000000001</v>
      </c>
      <c r="M24" s="37">
        <v>0.14000000000000001</v>
      </c>
      <c r="N24" s="2"/>
      <c r="O24" s="41" t="s">
        <v>0</v>
      </c>
      <c r="P24" s="37">
        <v>0.18000000000000002</v>
      </c>
      <c r="Q24" s="37">
        <v>0.21000000000000002</v>
      </c>
      <c r="R24" s="37">
        <v>0.18000000000000002</v>
      </c>
      <c r="S24" s="37">
        <v>0.18000000000000002</v>
      </c>
      <c r="U24" s="41" t="s">
        <v>0</v>
      </c>
      <c r="V24" s="37">
        <v>0.14000000000000001</v>
      </c>
      <c r="W24" s="37">
        <v>0.14000000000000001</v>
      </c>
      <c r="X24" s="37">
        <v>0.19</v>
      </c>
      <c r="Y24" s="37">
        <v>0.14000000000000001</v>
      </c>
      <c r="Z24" s="37">
        <v>0.18000000000000002</v>
      </c>
    </row>
    <row r="25" spans="1:26" x14ac:dyDescent="0.25">
      <c r="A25" s="41" t="s">
        <v>1</v>
      </c>
      <c r="B25" s="65">
        <v>0</v>
      </c>
      <c r="C25" s="65">
        <v>0</v>
      </c>
      <c r="D25" s="65">
        <v>0</v>
      </c>
      <c r="E25" s="65">
        <v>0</v>
      </c>
      <c r="F25" s="65">
        <v>0</v>
      </c>
      <c r="H25" s="41" t="s">
        <v>1</v>
      </c>
      <c r="I25" s="32">
        <v>0</v>
      </c>
      <c r="J25" s="32">
        <v>0</v>
      </c>
      <c r="K25" s="32">
        <v>0</v>
      </c>
      <c r="L25" s="32">
        <v>0</v>
      </c>
      <c r="M25" s="32">
        <v>0</v>
      </c>
      <c r="N25" s="2"/>
      <c r="O25" s="41" t="s">
        <v>1</v>
      </c>
      <c r="P25" s="65">
        <v>0</v>
      </c>
      <c r="Q25" s="65">
        <v>0</v>
      </c>
      <c r="R25" s="65">
        <v>0</v>
      </c>
      <c r="S25" s="65">
        <v>0</v>
      </c>
      <c r="U25" s="41" t="s">
        <v>1</v>
      </c>
      <c r="V25" s="32">
        <v>0</v>
      </c>
      <c r="W25" s="32">
        <v>0</v>
      </c>
      <c r="X25" s="32">
        <v>0</v>
      </c>
      <c r="Y25" s="32">
        <v>0</v>
      </c>
      <c r="Z25" s="32">
        <v>0</v>
      </c>
    </row>
    <row r="26" spans="1:26" x14ac:dyDescent="0.25">
      <c r="A26" s="40" t="s">
        <v>89</v>
      </c>
      <c r="B26" s="66">
        <v>1953</v>
      </c>
      <c r="C26" s="66">
        <v>1794</v>
      </c>
      <c r="D26" s="66">
        <v>1923</v>
      </c>
      <c r="E26" s="66">
        <v>1904</v>
      </c>
      <c r="F26" s="66">
        <v>1596</v>
      </c>
      <c r="H26" s="40" t="s">
        <v>89</v>
      </c>
      <c r="I26" s="31">
        <v>1592</v>
      </c>
      <c r="J26" s="31">
        <v>1592</v>
      </c>
      <c r="K26" s="31">
        <v>1592</v>
      </c>
      <c r="L26" s="31">
        <v>1592</v>
      </c>
      <c r="M26" s="31">
        <v>1592</v>
      </c>
      <c r="N26" s="2"/>
      <c r="O26" s="40" t="s">
        <v>89</v>
      </c>
      <c r="P26" s="66">
        <v>1923</v>
      </c>
      <c r="Q26" s="66">
        <v>1853</v>
      </c>
      <c r="R26" s="66">
        <v>1923</v>
      </c>
      <c r="S26" s="66">
        <v>1923</v>
      </c>
      <c r="U26" s="40" t="s">
        <v>89</v>
      </c>
      <c r="V26" s="31">
        <v>1592</v>
      </c>
      <c r="W26" s="31">
        <v>1680</v>
      </c>
      <c r="X26" s="31">
        <v>1724</v>
      </c>
      <c r="Y26" s="31">
        <v>1732</v>
      </c>
      <c r="Z26" s="31">
        <v>1642</v>
      </c>
    </row>
    <row r="27" spans="1:26" x14ac:dyDescent="0.25">
      <c r="A27" s="49" t="s">
        <v>316</v>
      </c>
      <c r="B27" s="67">
        <v>550.80000000000018</v>
      </c>
      <c r="C27" s="67">
        <v>393.45000000000027</v>
      </c>
      <c r="D27" s="67">
        <v>422.03999999999996</v>
      </c>
      <c r="E27" s="67">
        <v>569.20000000000027</v>
      </c>
      <c r="F27" s="67">
        <v>350.16000000000008</v>
      </c>
      <c r="H27" s="49" t="s">
        <v>18</v>
      </c>
      <c r="I27" s="32">
        <v>258.76000000000022</v>
      </c>
      <c r="J27" s="32">
        <v>258.76000000000022</v>
      </c>
      <c r="K27" s="32">
        <v>258.76000000000022</v>
      </c>
      <c r="L27" s="32">
        <v>258.76000000000022</v>
      </c>
      <c r="M27" s="32">
        <v>258.76000000000022</v>
      </c>
      <c r="N27" s="2"/>
      <c r="O27" s="49" t="s">
        <v>316</v>
      </c>
      <c r="P27" s="67">
        <v>422.03999999999996</v>
      </c>
      <c r="Q27" s="67">
        <v>492.03999999999996</v>
      </c>
      <c r="R27" s="67">
        <v>422.03999999999996</v>
      </c>
      <c r="S27" s="67">
        <v>422.03999999999996</v>
      </c>
      <c r="U27" s="49" t="s">
        <v>18</v>
      </c>
      <c r="V27" s="32">
        <v>258.76000000000022</v>
      </c>
      <c r="W27" s="32">
        <v>273.07500000000027</v>
      </c>
      <c r="X27" s="32">
        <v>404.07250000000022</v>
      </c>
      <c r="Y27" s="32">
        <v>282.47000000000025</v>
      </c>
      <c r="Z27" s="32">
        <v>360.31999999999971</v>
      </c>
    </row>
    <row r="28" spans="1:26" x14ac:dyDescent="0.25">
      <c r="A28" s="41"/>
      <c r="B28" s="32"/>
      <c r="C28" s="32"/>
      <c r="D28" s="32"/>
      <c r="E28" s="32"/>
      <c r="F28" s="32"/>
      <c r="H28" s="41"/>
      <c r="I28" s="32"/>
      <c r="J28" s="32"/>
      <c r="K28" s="32"/>
      <c r="L28" s="32"/>
      <c r="M28" s="32"/>
      <c r="N28" s="2"/>
      <c r="O28" s="41"/>
      <c r="P28" s="65"/>
      <c r="Q28" s="65"/>
      <c r="R28" s="65"/>
      <c r="S28" s="65"/>
      <c r="U28" s="41"/>
      <c r="V28" s="32"/>
      <c r="W28" s="32"/>
      <c r="X28" s="32"/>
      <c r="Y28" s="32"/>
      <c r="Z28" s="32"/>
    </row>
    <row r="29" spans="1:26" x14ac:dyDescent="0.25">
      <c r="A29" s="41" t="s">
        <v>2</v>
      </c>
      <c r="B29" s="65">
        <v>514</v>
      </c>
      <c r="C29" s="65">
        <v>514</v>
      </c>
      <c r="D29" s="65">
        <v>514</v>
      </c>
      <c r="E29" s="65">
        <v>514</v>
      </c>
      <c r="F29" s="65">
        <v>514</v>
      </c>
      <c r="H29" s="41" t="s">
        <v>2</v>
      </c>
      <c r="I29" s="32">
        <v>514</v>
      </c>
      <c r="J29" s="32">
        <v>514</v>
      </c>
      <c r="K29" s="32">
        <v>514</v>
      </c>
      <c r="L29" s="32">
        <v>514</v>
      </c>
      <c r="M29" s="32">
        <v>514</v>
      </c>
      <c r="N29" s="2"/>
      <c r="O29" s="41" t="s">
        <v>2</v>
      </c>
      <c r="P29" s="65">
        <v>514</v>
      </c>
      <c r="Q29" s="65">
        <v>514</v>
      </c>
      <c r="R29" s="65">
        <v>514</v>
      </c>
      <c r="S29" s="65">
        <v>514</v>
      </c>
      <c r="U29" s="41" t="s">
        <v>2</v>
      </c>
      <c r="V29" s="32">
        <v>514</v>
      </c>
      <c r="W29" s="32">
        <v>514</v>
      </c>
      <c r="X29" s="32">
        <v>514</v>
      </c>
      <c r="Y29" s="32">
        <v>514</v>
      </c>
      <c r="Z29" s="32">
        <v>514</v>
      </c>
    </row>
    <row r="30" spans="1:26" x14ac:dyDescent="0.25">
      <c r="A30" s="41" t="s">
        <v>3</v>
      </c>
      <c r="B30" s="71">
        <v>0.74</v>
      </c>
      <c r="C30" s="71">
        <v>0.74</v>
      </c>
      <c r="D30" s="71">
        <v>0.8600000000000001</v>
      </c>
      <c r="E30" s="71">
        <v>0.84000000000000008</v>
      </c>
      <c r="F30" s="71">
        <v>0.89000000000000012</v>
      </c>
      <c r="H30" s="41" t="s">
        <v>3</v>
      </c>
      <c r="I30" s="28">
        <v>1.1600000000000001</v>
      </c>
      <c r="J30" s="28">
        <v>1.07</v>
      </c>
      <c r="K30" s="28">
        <v>1.28</v>
      </c>
      <c r="L30" s="28">
        <v>1.1700000000000002</v>
      </c>
      <c r="M30" s="28">
        <v>1.07</v>
      </c>
      <c r="N30" s="2"/>
      <c r="O30" s="41" t="s">
        <v>3</v>
      </c>
      <c r="P30" s="71">
        <v>0.8600000000000001</v>
      </c>
      <c r="Q30" s="71">
        <v>0.8600000000000001</v>
      </c>
      <c r="R30" s="71">
        <v>0.8600000000000001</v>
      </c>
      <c r="S30" s="71">
        <v>0.95</v>
      </c>
      <c r="U30" s="41" t="s">
        <v>3</v>
      </c>
      <c r="V30" s="28">
        <v>1.07</v>
      </c>
      <c r="W30" s="28">
        <v>0.92</v>
      </c>
      <c r="X30" s="28">
        <v>1.02</v>
      </c>
      <c r="Y30" s="28">
        <v>1.04</v>
      </c>
      <c r="Z30" s="28">
        <v>0.92</v>
      </c>
    </row>
    <row r="31" spans="1:26" x14ac:dyDescent="0.25">
      <c r="A31" s="41" t="s">
        <v>4</v>
      </c>
      <c r="B31" s="65">
        <v>174</v>
      </c>
      <c r="C31" s="65">
        <v>174</v>
      </c>
      <c r="D31" s="65">
        <v>174</v>
      </c>
      <c r="E31" s="65">
        <v>174</v>
      </c>
      <c r="F31" s="65">
        <v>174</v>
      </c>
      <c r="H31" s="41" t="s">
        <v>4</v>
      </c>
      <c r="I31" s="32">
        <v>174</v>
      </c>
      <c r="J31" s="32">
        <v>174</v>
      </c>
      <c r="K31" s="32">
        <v>174</v>
      </c>
      <c r="L31" s="32">
        <v>174</v>
      </c>
      <c r="M31" s="32">
        <v>174</v>
      </c>
      <c r="O31" s="41" t="s">
        <v>4</v>
      </c>
      <c r="P31" s="65">
        <v>174</v>
      </c>
      <c r="Q31" s="65">
        <v>174</v>
      </c>
      <c r="R31" s="65">
        <v>174</v>
      </c>
      <c r="S31" s="65">
        <v>174</v>
      </c>
      <c r="U31" s="41" t="s">
        <v>4</v>
      </c>
      <c r="V31" s="32">
        <v>174</v>
      </c>
      <c r="W31" s="32">
        <v>174</v>
      </c>
      <c r="X31" s="32">
        <v>174</v>
      </c>
      <c r="Y31" s="32">
        <v>174</v>
      </c>
      <c r="Z31" s="32">
        <v>174</v>
      </c>
    </row>
    <row r="32" spans="1:26" x14ac:dyDescent="0.25">
      <c r="A32" s="40" t="s">
        <v>5</v>
      </c>
      <c r="B32" s="66">
        <v>1197</v>
      </c>
      <c r="C32" s="66">
        <v>1197</v>
      </c>
      <c r="D32" s="66">
        <v>1280</v>
      </c>
      <c r="E32" s="66">
        <v>1266</v>
      </c>
      <c r="F32" s="66">
        <v>1300</v>
      </c>
      <c r="H32" s="40" t="s">
        <v>5</v>
      </c>
      <c r="I32" s="31">
        <v>1486</v>
      </c>
      <c r="J32" s="31">
        <v>1424</v>
      </c>
      <c r="K32" s="31">
        <v>1569</v>
      </c>
      <c r="L32" s="31">
        <v>1493</v>
      </c>
      <c r="M32" s="31">
        <v>1424</v>
      </c>
      <c r="O32" s="40" t="s">
        <v>5</v>
      </c>
      <c r="P32" s="66">
        <v>1280</v>
      </c>
      <c r="Q32" s="66">
        <v>1280</v>
      </c>
      <c r="R32" s="66">
        <v>1280</v>
      </c>
      <c r="S32" s="66">
        <v>1342</v>
      </c>
      <c r="U32" s="40" t="s">
        <v>5</v>
      </c>
      <c r="V32" s="31">
        <v>1424</v>
      </c>
      <c r="W32" s="31">
        <v>1321</v>
      </c>
      <c r="X32" s="31">
        <v>1390</v>
      </c>
      <c r="Y32" s="31">
        <v>1404</v>
      </c>
      <c r="Z32" s="31">
        <v>1321</v>
      </c>
    </row>
    <row r="33" spans="1:26" x14ac:dyDescent="0.25">
      <c r="A33" s="49" t="s">
        <v>317</v>
      </c>
      <c r="B33" s="67">
        <v>599</v>
      </c>
      <c r="C33" s="67">
        <v>599</v>
      </c>
      <c r="D33" s="67">
        <v>640</v>
      </c>
      <c r="E33" s="67">
        <v>633</v>
      </c>
      <c r="F33" s="67">
        <v>650</v>
      </c>
      <c r="H33" s="49" t="s">
        <v>6</v>
      </c>
      <c r="I33" s="31">
        <v>743</v>
      </c>
      <c r="J33" s="31">
        <v>712</v>
      </c>
      <c r="K33" s="31">
        <v>785</v>
      </c>
      <c r="L33" s="31">
        <v>747</v>
      </c>
      <c r="M33" s="31">
        <v>712</v>
      </c>
      <c r="O33" s="49" t="s">
        <v>317</v>
      </c>
      <c r="P33" s="67">
        <v>640</v>
      </c>
      <c r="Q33" s="67">
        <v>640</v>
      </c>
      <c r="R33" s="67">
        <v>640</v>
      </c>
      <c r="S33" s="67">
        <v>671</v>
      </c>
      <c r="U33" s="49" t="s">
        <v>6</v>
      </c>
      <c r="V33" s="31">
        <v>712</v>
      </c>
      <c r="W33" s="31">
        <v>661</v>
      </c>
      <c r="X33" s="31">
        <v>695</v>
      </c>
      <c r="Y33" s="31">
        <v>702</v>
      </c>
      <c r="Z33" s="31">
        <v>661</v>
      </c>
    </row>
    <row r="34" spans="1:26" x14ac:dyDescent="0.25">
      <c r="A34" s="43"/>
      <c r="B34" s="33"/>
      <c r="C34" s="33"/>
      <c r="D34" s="33"/>
      <c r="E34" s="33"/>
      <c r="F34" s="33"/>
      <c r="H34" s="43"/>
      <c r="I34" s="33"/>
      <c r="J34" s="33"/>
      <c r="K34" s="33"/>
      <c r="L34" s="33"/>
      <c r="M34" s="33"/>
      <c r="O34" s="43"/>
      <c r="P34" s="74"/>
      <c r="Q34" s="74"/>
      <c r="R34" s="74"/>
      <c r="S34" s="74"/>
      <c r="U34" s="43"/>
      <c r="V34" s="33"/>
      <c r="W34" s="33"/>
      <c r="X34" s="33"/>
      <c r="Y34" s="33"/>
      <c r="Z34" s="33"/>
    </row>
    <row r="35" spans="1:26" x14ac:dyDescent="0.25">
      <c r="A35" s="40" t="s">
        <v>67</v>
      </c>
      <c r="B35" s="66">
        <v>1149.8000000000002</v>
      </c>
      <c r="C35" s="66">
        <v>992.45000000000027</v>
      </c>
      <c r="D35" s="66">
        <v>1062.04</v>
      </c>
      <c r="E35" s="66">
        <v>1202.2000000000003</v>
      </c>
      <c r="F35" s="66">
        <v>1000.1600000000001</v>
      </c>
      <c r="H35" s="40" t="s">
        <v>67</v>
      </c>
      <c r="I35" s="31">
        <v>1001.7600000000002</v>
      </c>
      <c r="J35" s="31">
        <v>970.76000000000022</v>
      </c>
      <c r="K35" s="31">
        <v>1043.7600000000002</v>
      </c>
      <c r="L35" s="31">
        <v>1005.7600000000002</v>
      </c>
      <c r="M35" s="31">
        <v>970.76000000000022</v>
      </c>
      <c r="O35" s="40" t="s">
        <v>67</v>
      </c>
      <c r="P35" s="66">
        <v>1062.04</v>
      </c>
      <c r="Q35" s="66">
        <v>1132.04</v>
      </c>
      <c r="R35" s="66">
        <v>1062.04</v>
      </c>
      <c r="S35" s="66">
        <v>1093.04</v>
      </c>
      <c r="U35" s="40" t="s">
        <v>67</v>
      </c>
      <c r="V35" s="31">
        <v>970.76000000000022</v>
      </c>
      <c r="W35" s="31">
        <v>934.07500000000027</v>
      </c>
      <c r="X35" s="31">
        <v>1099.0725000000002</v>
      </c>
      <c r="Y35" s="31">
        <v>984.47000000000025</v>
      </c>
      <c r="Z35" s="31">
        <v>1021.3199999999997</v>
      </c>
    </row>
    <row r="36" spans="1:26" x14ac:dyDescent="0.25">
      <c r="A36" s="40" t="s">
        <v>40</v>
      </c>
      <c r="B36" s="66">
        <v>174</v>
      </c>
      <c r="C36" s="66">
        <v>174</v>
      </c>
      <c r="D36" s="66">
        <v>174</v>
      </c>
      <c r="E36" s="66">
        <v>174</v>
      </c>
      <c r="F36" s="66">
        <v>174</v>
      </c>
      <c r="H36" s="40" t="s">
        <v>40</v>
      </c>
      <c r="I36" s="31">
        <v>174</v>
      </c>
      <c r="J36" s="31">
        <v>174</v>
      </c>
      <c r="K36" s="31">
        <v>174</v>
      </c>
      <c r="L36" s="31">
        <v>174</v>
      </c>
      <c r="M36" s="31">
        <v>174</v>
      </c>
      <c r="O36" s="40" t="s">
        <v>40</v>
      </c>
      <c r="P36" s="66">
        <v>174</v>
      </c>
      <c r="Q36" s="66">
        <v>174</v>
      </c>
      <c r="R36" s="66">
        <v>174</v>
      </c>
      <c r="S36" s="66">
        <v>174</v>
      </c>
      <c r="U36" s="40" t="s">
        <v>40</v>
      </c>
      <c r="V36" s="31">
        <v>174</v>
      </c>
      <c r="W36" s="31">
        <v>174</v>
      </c>
      <c r="X36" s="31">
        <v>174</v>
      </c>
      <c r="Y36" s="31">
        <v>174</v>
      </c>
      <c r="Z36" s="31">
        <v>174</v>
      </c>
    </row>
    <row r="37" spans="1:26" x14ac:dyDescent="0.25">
      <c r="A37" s="49" t="s">
        <v>116</v>
      </c>
      <c r="B37" s="67">
        <v>-803.19999999999982</v>
      </c>
      <c r="C37" s="67">
        <v>-801.54999999999973</v>
      </c>
      <c r="D37" s="67">
        <v>-860.96</v>
      </c>
      <c r="E37" s="67">
        <v>-701.79999999999973</v>
      </c>
      <c r="F37" s="67">
        <v>-595.83999999999992</v>
      </c>
      <c r="H37" s="49" t="s">
        <v>117</v>
      </c>
      <c r="I37" s="31">
        <v>-590.23999999999978</v>
      </c>
      <c r="J37" s="31">
        <v>-621.23999999999978</v>
      </c>
      <c r="K37" s="31">
        <v>-548.23999999999978</v>
      </c>
      <c r="L37" s="31">
        <v>-586.23999999999978</v>
      </c>
      <c r="M37" s="31">
        <v>-621.23999999999978</v>
      </c>
      <c r="O37" s="49" t="s">
        <v>116</v>
      </c>
      <c r="P37" s="67">
        <v>-860.96</v>
      </c>
      <c r="Q37" s="67">
        <v>-720.96</v>
      </c>
      <c r="R37" s="67">
        <v>-860.96</v>
      </c>
      <c r="S37" s="67">
        <v>-829.96</v>
      </c>
      <c r="U37" s="49" t="s">
        <v>117</v>
      </c>
      <c r="V37" s="31">
        <v>-621.23999999999978</v>
      </c>
      <c r="W37" s="31">
        <v>-745.92499999999973</v>
      </c>
      <c r="X37" s="31">
        <v>-624.92749999999978</v>
      </c>
      <c r="Y37" s="31">
        <v>-747.52999999999975</v>
      </c>
      <c r="Z37" s="31">
        <v>-620.68000000000029</v>
      </c>
    </row>
    <row r="38" spans="1:26" x14ac:dyDescent="0.25">
      <c r="A38" s="43"/>
      <c r="B38" s="33"/>
      <c r="C38" s="33"/>
      <c r="D38" s="33"/>
      <c r="E38" s="33"/>
      <c r="F38" s="33"/>
      <c r="H38" s="43"/>
      <c r="I38" s="33"/>
      <c r="J38" s="33"/>
      <c r="K38" s="33"/>
      <c r="L38" s="33"/>
      <c r="M38" s="33"/>
      <c r="O38" s="43"/>
      <c r="P38" s="74"/>
      <c r="Q38" s="74"/>
      <c r="R38" s="74"/>
      <c r="S38" s="74"/>
      <c r="U38" s="43"/>
      <c r="V38" s="33"/>
      <c r="W38" s="33"/>
      <c r="X38" s="33"/>
      <c r="Y38" s="33"/>
      <c r="Z38" s="33"/>
    </row>
    <row r="39" spans="1:26" x14ac:dyDescent="0.25">
      <c r="A39" s="40" t="s">
        <v>151</v>
      </c>
      <c r="B39" s="34"/>
      <c r="C39" s="34"/>
      <c r="D39" s="34"/>
      <c r="E39" s="34"/>
      <c r="F39" s="34"/>
      <c r="H39" s="40" t="s">
        <v>309</v>
      </c>
      <c r="I39" s="34"/>
      <c r="J39" s="34"/>
      <c r="K39" s="34"/>
      <c r="L39" s="34"/>
      <c r="M39" s="34"/>
      <c r="O39" s="40" t="s">
        <v>151</v>
      </c>
      <c r="P39" s="73"/>
      <c r="Q39" s="73"/>
      <c r="R39" s="73"/>
      <c r="S39" s="73"/>
      <c r="U39" s="40" t="s">
        <v>309</v>
      </c>
      <c r="V39" s="34"/>
      <c r="W39" s="34"/>
      <c r="X39" s="34"/>
      <c r="Y39" s="34"/>
      <c r="Z39" s="34"/>
    </row>
    <row r="40" spans="1:26" x14ac:dyDescent="0.25">
      <c r="A40" s="41" t="s">
        <v>68</v>
      </c>
      <c r="B40" s="65">
        <v>300</v>
      </c>
      <c r="C40" s="65">
        <v>300</v>
      </c>
      <c r="D40" s="65">
        <v>300</v>
      </c>
      <c r="E40" s="65">
        <v>300</v>
      </c>
      <c r="F40" s="65">
        <v>300</v>
      </c>
      <c r="H40" s="41"/>
      <c r="I40" s="32"/>
      <c r="J40" s="32"/>
      <c r="K40" s="32"/>
      <c r="L40" s="32"/>
      <c r="M40" s="32"/>
      <c r="O40" s="41" t="s">
        <v>68</v>
      </c>
      <c r="P40" s="65">
        <v>300</v>
      </c>
      <c r="Q40" s="65">
        <v>300</v>
      </c>
      <c r="R40" s="65">
        <v>300</v>
      </c>
      <c r="S40" s="65">
        <v>300</v>
      </c>
      <c r="U40" s="41"/>
      <c r="V40" s="32"/>
      <c r="W40" s="32"/>
      <c r="X40" s="32"/>
      <c r="Y40" s="32"/>
      <c r="Z40" s="32"/>
    </row>
    <row r="41" spans="1:26" x14ac:dyDescent="0.25">
      <c r="A41" s="41" t="s">
        <v>147</v>
      </c>
      <c r="B41" s="65">
        <v>0</v>
      </c>
      <c r="C41" s="65">
        <v>0</v>
      </c>
      <c r="D41" s="65">
        <v>163.96</v>
      </c>
      <c r="E41" s="65">
        <v>0</v>
      </c>
      <c r="F41" s="65">
        <v>0</v>
      </c>
      <c r="H41" s="41" t="s">
        <v>93</v>
      </c>
      <c r="I41" s="32">
        <v>0</v>
      </c>
      <c r="J41" s="32">
        <v>0</v>
      </c>
      <c r="K41" s="32">
        <v>0</v>
      </c>
      <c r="L41" s="32">
        <v>0</v>
      </c>
      <c r="M41" s="32">
        <v>0</v>
      </c>
      <c r="O41" s="41" t="s">
        <v>147</v>
      </c>
      <c r="P41" s="65">
        <v>163.96</v>
      </c>
      <c r="Q41" s="65">
        <v>163.96</v>
      </c>
      <c r="R41" s="65">
        <v>163.96</v>
      </c>
      <c r="S41" s="65">
        <v>163.96</v>
      </c>
      <c r="U41" s="41" t="s">
        <v>93</v>
      </c>
      <c r="V41" s="32">
        <v>0</v>
      </c>
      <c r="W41" s="32">
        <v>0</v>
      </c>
      <c r="X41" s="32">
        <v>0</v>
      </c>
      <c r="Y41" s="32">
        <v>163.96</v>
      </c>
      <c r="Z41" s="32">
        <v>0</v>
      </c>
    </row>
    <row r="42" spans="1:26" x14ac:dyDescent="0.25">
      <c r="A42" s="41" t="s">
        <v>148</v>
      </c>
      <c r="B42" s="65">
        <v>0</v>
      </c>
      <c r="C42" s="65">
        <v>0</v>
      </c>
      <c r="D42" s="65">
        <v>0</v>
      </c>
      <c r="E42" s="65">
        <v>0</v>
      </c>
      <c r="F42" s="65">
        <v>309.89999999999998</v>
      </c>
      <c r="H42" s="41" t="s">
        <v>76</v>
      </c>
      <c r="I42" s="32">
        <v>309.89999999999998</v>
      </c>
      <c r="J42" s="32">
        <v>309.89999999999998</v>
      </c>
      <c r="K42" s="32">
        <v>309.89999999999998</v>
      </c>
      <c r="L42" s="32">
        <v>309.89999999999998</v>
      </c>
      <c r="M42" s="32">
        <v>309.89999999999998</v>
      </c>
      <c r="O42" s="41" t="s">
        <v>148</v>
      </c>
      <c r="P42" s="65">
        <v>0</v>
      </c>
      <c r="Q42" s="65">
        <v>0</v>
      </c>
      <c r="R42" s="65">
        <v>0</v>
      </c>
      <c r="S42" s="65">
        <v>0</v>
      </c>
      <c r="U42" s="41" t="s">
        <v>76</v>
      </c>
      <c r="V42" s="32">
        <v>309.89999999999998</v>
      </c>
      <c r="W42" s="32">
        <v>0</v>
      </c>
      <c r="X42" s="32">
        <v>0</v>
      </c>
      <c r="Y42" s="32">
        <v>0</v>
      </c>
      <c r="Z42" s="32">
        <v>0</v>
      </c>
    </row>
    <row r="43" spans="1:26" x14ac:dyDescent="0.25">
      <c r="A43" s="41" t="s">
        <v>149</v>
      </c>
      <c r="B43" s="65">
        <v>240</v>
      </c>
      <c r="C43" s="65">
        <v>0</v>
      </c>
      <c r="D43" s="65">
        <v>0</v>
      </c>
      <c r="E43" s="65">
        <v>0</v>
      </c>
      <c r="F43" s="65">
        <v>0</v>
      </c>
      <c r="H43" s="41" t="s">
        <v>95</v>
      </c>
      <c r="I43" s="32">
        <v>158.4</v>
      </c>
      <c r="J43" s="32">
        <v>0</v>
      </c>
      <c r="K43" s="32">
        <v>0</v>
      </c>
      <c r="L43" s="32">
        <v>0</v>
      </c>
      <c r="M43" s="32">
        <v>0</v>
      </c>
      <c r="O43" s="41" t="s">
        <v>149</v>
      </c>
      <c r="P43" s="65">
        <v>0</v>
      </c>
      <c r="Q43" s="65">
        <v>0</v>
      </c>
      <c r="R43" s="65">
        <v>0</v>
      </c>
      <c r="S43" s="65">
        <v>0</v>
      </c>
      <c r="U43" s="41" t="s">
        <v>95</v>
      </c>
      <c r="V43" s="32">
        <v>0</v>
      </c>
      <c r="W43" s="32">
        <v>0</v>
      </c>
      <c r="X43" s="32">
        <v>0</v>
      </c>
      <c r="Y43" s="32">
        <v>0</v>
      </c>
      <c r="Z43" s="32">
        <v>0</v>
      </c>
    </row>
    <row r="44" spans="1:26" x14ac:dyDescent="0.25">
      <c r="A44" s="41" t="s">
        <v>150</v>
      </c>
      <c r="B44" s="65">
        <v>0</v>
      </c>
      <c r="C44" s="65">
        <v>161</v>
      </c>
      <c r="D44" s="65">
        <v>0</v>
      </c>
      <c r="E44" s="65">
        <v>0</v>
      </c>
      <c r="F44" s="65">
        <v>0</v>
      </c>
      <c r="H44" s="41" t="s">
        <v>79</v>
      </c>
      <c r="I44" s="32">
        <v>0</v>
      </c>
      <c r="J44" s="32">
        <v>0</v>
      </c>
      <c r="K44" s="32">
        <v>0</v>
      </c>
      <c r="L44" s="32">
        <v>0</v>
      </c>
      <c r="M44" s="32">
        <v>0</v>
      </c>
      <c r="O44" s="41" t="s">
        <v>150</v>
      </c>
      <c r="P44" s="65">
        <v>0</v>
      </c>
      <c r="Q44" s="65">
        <v>0</v>
      </c>
      <c r="R44" s="65">
        <v>0</v>
      </c>
      <c r="S44" s="65">
        <v>0</v>
      </c>
      <c r="U44" s="41" t="s">
        <v>79</v>
      </c>
      <c r="V44" s="32">
        <v>0</v>
      </c>
      <c r="W44" s="32">
        <v>184</v>
      </c>
      <c r="X44" s="32">
        <v>0</v>
      </c>
      <c r="Y44" s="32">
        <v>0</v>
      </c>
      <c r="Z44" s="32">
        <v>0</v>
      </c>
    </row>
    <row r="45" spans="1:26" x14ac:dyDescent="0.25">
      <c r="A45" s="41" t="s">
        <v>86</v>
      </c>
      <c r="B45" s="65">
        <v>198</v>
      </c>
      <c r="C45" s="65">
        <v>198</v>
      </c>
      <c r="D45" s="65">
        <v>198</v>
      </c>
      <c r="E45" s="65">
        <v>198</v>
      </c>
      <c r="F45" s="65">
        <v>198</v>
      </c>
      <c r="H45" s="41" t="s">
        <v>86</v>
      </c>
      <c r="I45" s="35">
        <v>198</v>
      </c>
      <c r="J45" s="35">
        <v>198</v>
      </c>
      <c r="K45" s="35">
        <v>198</v>
      </c>
      <c r="L45" s="35">
        <v>198</v>
      </c>
      <c r="M45" s="35">
        <v>198</v>
      </c>
      <c r="O45" s="41" t="s">
        <v>86</v>
      </c>
      <c r="P45" s="72">
        <v>198</v>
      </c>
      <c r="Q45" s="72">
        <v>198</v>
      </c>
      <c r="R45" s="72">
        <v>198</v>
      </c>
      <c r="S45" s="72">
        <v>198</v>
      </c>
      <c r="U45" s="41" t="s">
        <v>86</v>
      </c>
      <c r="V45" s="35">
        <v>198</v>
      </c>
      <c r="W45" s="35">
        <v>198</v>
      </c>
      <c r="X45" s="35">
        <v>198</v>
      </c>
      <c r="Y45" s="35">
        <v>198</v>
      </c>
      <c r="Z45" s="35">
        <v>198</v>
      </c>
    </row>
    <row r="46" spans="1:26" x14ac:dyDescent="0.25">
      <c r="A46" s="41" t="s">
        <v>146</v>
      </c>
      <c r="B46" s="65">
        <v>172.48888888888888</v>
      </c>
      <c r="C46" s="65">
        <v>172.48888888888888</v>
      </c>
      <c r="D46" s="65">
        <v>172.48888888888888</v>
      </c>
      <c r="E46" s="65">
        <v>172.48888888888888</v>
      </c>
      <c r="F46" s="65">
        <v>172.48888888888888</v>
      </c>
      <c r="H46" s="41" t="s">
        <v>138</v>
      </c>
      <c r="I46" s="35">
        <v>172.48888888888888</v>
      </c>
      <c r="J46" s="35">
        <v>275.15555555555557</v>
      </c>
      <c r="K46" s="35">
        <v>172.48888888888888</v>
      </c>
      <c r="L46" s="35">
        <v>172.48888888888888</v>
      </c>
      <c r="M46" s="35">
        <v>172.48888888888888</v>
      </c>
      <c r="O46" s="41" t="s">
        <v>146</v>
      </c>
      <c r="P46" s="72">
        <v>172.48888888888888</v>
      </c>
      <c r="Q46" s="72">
        <v>172.48888888888888</v>
      </c>
      <c r="R46" s="72">
        <v>275.15555555555557</v>
      </c>
      <c r="S46" s="72">
        <v>172.48888888888888</v>
      </c>
      <c r="U46" s="41" t="s">
        <v>138</v>
      </c>
      <c r="V46" s="35">
        <v>172.48888888888888</v>
      </c>
      <c r="W46" s="35">
        <v>172.48888888888888</v>
      </c>
      <c r="X46" s="35">
        <v>172.48888888888888</v>
      </c>
      <c r="Y46" s="35">
        <v>172.48888888888888</v>
      </c>
      <c r="Z46" s="35">
        <v>172.48888888888888</v>
      </c>
    </row>
    <row r="47" spans="1:26" x14ac:dyDescent="0.25">
      <c r="A47" s="41" t="s">
        <v>120</v>
      </c>
      <c r="B47" s="65">
        <v>0</v>
      </c>
      <c r="C47" s="65">
        <v>0</v>
      </c>
      <c r="D47" s="65">
        <v>0</v>
      </c>
      <c r="E47" s="65">
        <v>0</v>
      </c>
      <c r="F47" s="65">
        <v>0</v>
      </c>
      <c r="H47" s="41" t="s">
        <v>120</v>
      </c>
      <c r="I47" s="35">
        <v>0</v>
      </c>
      <c r="J47" s="35">
        <v>0</v>
      </c>
      <c r="K47" s="35">
        <v>0</v>
      </c>
      <c r="L47" s="35">
        <v>0</v>
      </c>
      <c r="M47" s="35">
        <v>0</v>
      </c>
      <c r="O47" s="41" t="s">
        <v>120</v>
      </c>
      <c r="P47" s="72">
        <v>0</v>
      </c>
      <c r="Q47" s="72">
        <v>0</v>
      </c>
      <c r="R47" s="72">
        <v>0</v>
      </c>
      <c r="S47" s="72">
        <v>0</v>
      </c>
      <c r="U47" s="41" t="s">
        <v>120</v>
      </c>
      <c r="V47" s="35">
        <v>0</v>
      </c>
      <c r="W47" s="35">
        <v>0</v>
      </c>
      <c r="X47" s="35">
        <v>0</v>
      </c>
      <c r="Y47" s="35">
        <v>0</v>
      </c>
      <c r="Z47" s="35">
        <v>0</v>
      </c>
    </row>
    <row r="48" spans="1:26" x14ac:dyDescent="0.25">
      <c r="A48" s="41" t="s">
        <v>187</v>
      </c>
      <c r="B48" s="65">
        <v>0</v>
      </c>
      <c r="C48" s="65">
        <v>0</v>
      </c>
      <c r="D48" s="65">
        <v>0</v>
      </c>
      <c r="E48" s="65">
        <v>0</v>
      </c>
      <c r="F48" s="65">
        <v>0</v>
      </c>
      <c r="H48" s="41" t="s">
        <v>180</v>
      </c>
      <c r="I48" s="35">
        <v>0</v>
      </c>
      <c r="J48" s="35">
        <v>0</v>
      </c>
      <c r="K48" s="35">
        <v>0</v>
      </c>
      <c r="L48" s="35">
        <v>0</v>
      </c>
      <c r="M48" s="35">
        <v>0</v>
      </c>
      <c r="O48" s="41" t="s">
        <v>187</v>
      </c>
      <c r="P48" s="72">
        <v>0</v>
      </c>
      <c r="Q48" s="72">
        <v>0</v>
      </c>
      <c r="R48" s="72">
        <v>0</v>
      </c>
      <c r="S48" s="72">
        <v>0</v>
      </c>
      <c r="U48" s="41" t="s">
        <v>180</v>
      </c>
      <c r="V48" s="35">
        <v>0</v>
      </c>
      <c r="W48" s="35">
        <v>0</v>
      </c>
      <c r="X48" s="35">
        <v>0</v>
      </c>
      <c r="Y48" s="35">
        <v>0</v>
      </c>
      <c r="Z48" s="35">
        <v>0</v>
      </c>
    </row>
    <row r="49" spans="1:26" x14ac:dyDescent="0.25">
      <c r="A49" s="41" t="s">
        <v>91</v>
      </c>
      <c r="B49" s="65">
        <v>71.399999999999991</v>
      </c>
      <c r="C49" s="65">
        <v>71.399999999999991</v>
      </c>
      <c r="D49" s="65">
        <v>71.399999999999991</v>
      </c>
      <c r="E49" s="65">
        <v>71.399999999999991</v>
      </c>
      <c r="F49" s="65">
        <v>71.399999999999991</v>
      </c>
      <c r="H49" s="41" t="s">
        <v>94</v>
      </c>
      <c r="I49" s="32">
        <v>71.399999999999991</v>
      </c>
      <c r="J49" s="32">
        <v>71.399999999999991</v>
      </c>
      <c r="K49" s="32">
        <v>71.399999999999991</v>
      </c>
      <c r="L49" s="32">
        <v>71.399999999999991</v>
      </c>
      <c r="M49" s="32">
        <v>71.399999999999991</v>
      </c>
      <c r="O49" s="41" t="s">
        <v>91</v>
      </c>
      <c r="P49" s="65">
        <v>71.399999999999991</v>
      </c>
      <c r="Q49" s="65">
        <v>71.399999999999991</v>
      </c>
      <c r="R49" s="65">
        <v>71.399999999999991</v>
      </c>
      <c r="S49" s="65">
        <v>71.399999999999991</v>
      </c>
      <c r="U49" s="41" t="s">
        <v>94</v>
      </c>
      <c r="V49" s="32">
        <v>71.399999999999991</v>
      </c>
      <c r="W49" s="32">
        <v>71.399999999999991</v>
      </c>
      <c r="X49" s="32">
        <v>71.399999999999991</v>
      </c>
      <c r="Y49" s="32">
        <v>71.399999999999991</v>
      </c>
      <c r="Z49" s="32">
        <v>71.399999999999991</v>
      </c>
    </row>
    <row r="50" spans="1:26" x14ac:dyDescent="0.25">
      <c r="A50" s="39" t="s">
        <v>306</v>
      </c>
      <c r="B50" s="71">
        <v>0.2</v>
      </c>
      <c r="C50" s="71">
        <v>0.2</v>
      </c>
      <c r="D50" s="71">
        <v>0.2</v>
      </c>
      <c r="E50" s="71">
        <v>0.2</v>
      </c>
      <c r="F50" s="71">
        <v>0.2</v>
      </c>
      <c r="H50" s="39" t="s">
        <v>307</v>
      </c>
      <c r="I50" s="28">
        <v>0.2</v>
      </c>
      <c r="J50" s="28">
        <v>0.2</v>
      </c>
      <c r="K50" s="28">
        <v>0.2</v>
      </c>
      <c r="L50" s="28">
        <v>0.2</v>
      </c>
      <c r="M50" s="28">
        <v>0.2</v>
      </c>
      <c r="O50" s="39" t="s">
        <v>306</v>
      </c>
      <c r="P50" s="71">
        <v>0.2</v>
      </c>
      <c r="Q50" s="71">
        <v>0.2</v>
      </c>
      <c r="R50" s="71">
        <v>0.2</v>
      </c>
      <c r="S50" s="71">
        <v>0.2</v>
      </c>
      <c r="U50" s="39" t="s">
        <v>307</v>
      </c>
      <c r="V50" s="28">
        <v>0.2</v>
      </c>
      <c r="W50" s="28">
        <v>0.2</v>
      </c>
      <c r="X50" s="28">
        <v>0.2</v>
      </c>
      <c r="Y50" s="28">
        <v>0.2</v>
      </c>
      <c r="Z50" s="28">
        <v>0.2</v>
      </c>
    </row>
    <row r="51" spans="1:26" x14ac:dyDescent="0.25">
      <c r="A51" s="39" t="s">
        <v>134</v>
      </c>
      <c r="B51" s="71">
        <v>0</v>
      </c>
      <c r="C51" s="71">
        <v>0</v>
      </c>
      <c r="D51" s="71">
        <v>0</v>
      </c>
      <c r="E51" s="71">
        <v>0</v>
      </c>
      <c r="F51" s="71">
        <v>0</v>
      </c>
      <c r="H51" s="39" t="s">
        <v>308</v>
      </c>
      <c r="I51" s="28">
        <v>0.1</v>
      </c>
      <c r="J51" s="28">
        <v>0.1</v>
      </c>
      <c r="K51" s="28">
        <v>0.1</v>
      </c>
      <c r="L51" s="28">
        <v>0.1</v>
      </c>
      <c r="M51" s="28">
        <v>0.1</v>
      </c>
      <c r="O51" s="39" t="s">
        <v>134</v>
      </c>
      <c r="P51" s="71">
        <v>0</v>
      </c>
      <c r="Q51" s="71">
        <v>0</v>
      </c>
      <c r="R51" s="71">
        <v>0</v>
      </c>
      <c r="S51" s="71">
        <v>0</v>
      </c>
      <c r="U51" s="39" t="s">
        <v>308</v>
      </c>
      <c r="V51" s="28">
        <v>0.1</v>
      </c>
      <c r="W51" s="28">
        <v>0.1</v>
      </c>
      <c r="X51" s="28">
        <v>0.1</v>
      </c>
      <c r="Y51" s="28">
        <v>0.1</v>
      </c>
      <c r="Z51" s="28">
        <v>0.1</v>
      </c>
    </row>
    <row r="52" spans="1:26" x14ac:dyDescent="0.25">
      <c r="A52" s="39" t="s">
        <v>140</v>
      </c>
      <c r="B52" s="71">
        <v>0.04</v>
      </c>
      <c r="C52" s="71">
        <v>0.04</v>
      </c>
      <c r="D52" s="71">
        <v>0.04</v>
      </c>
      <c r="E52" s="71">
        <v>0.04</v>
      </c>
      <c r="F52" s="71">
        <v>0.04</v>
      </c>
      <c r="H52" s="39" t="s">
        <v>139</v>
      </c>
      <c r="I52" s="28">
        <v>0.1</v>
      </c>
      <c r="J52" s="28">
        <v>0.1</v>
      </c>
      <c r="K52" s="28">
        <v>0.1</v>
      </c>
      <c r="L52" s="28">
        <v>0.1</v>
      </c>
      <c r="M52" s="28">
        <v>0.1</v>
      </c>
      <c r="O52" s="39" t="s">
        <v>140</v>
      </c>
      <c r="P52" s="71">
        <v>0.04</v>
      </c>
      <c r="Q52" s="71">
        <v>0.04</v>
      </c>
      <c r="R52" s="71">
        <v>0.04</v>
      </c>
      <c r="S52" s="71">
        <v>0.04</v>
      </c>
      <c r="U52" s="39" t="s">
        <v>139</v>
      </c>
      <c r="V52" s="28">
        <v>0.1</v>
      </c>
      <c r="W52" s="28">
        <v>0.1</v>
      </c>
      <c r="X52" s="28">
        <v>0.1</v>
      </c>
      <c r="Y52" s="28">
        <v>0.1</v>
      </c>
      <c r="Z52" s="28">
        <v>0.1</v>
      </c>
    </row>
    <row r="53" spans="1:26" x14ac:dyDescent="0.25">
      <c r="A53" s="40" t="s">
        <v>88</v>
      </c>
      <c r="B53" s="72">
        <v>1580.8888888888887</v>
      </c>
      <c r="C53" s="72">
        <v>1501.8888888888887</v>
      </c>
      <c r="D53" s="72">
        <v>1545.8488888888887</v>
      </c>
      <c r="E53" s="72">
        <v>1374.8888888888887</v>
      </c>
      <c r="F53" s="72">
        <v>1701.788888888889</v>
      </c>
      <c r="H53" s="40" t="s">
        <v>88</v>
      </c>
      <c r="I53" s="34">
        <v>1911.9488888888891</v>
      </c>
      <c r="J53" s="34">
        <v>1825.2155555555557</v>
      </c>
      <c r="K53" s="34">
        <v>1795.548888888889</v>
      </c>
      <c r="L53" s="34">
        <v>1757.548888888889</v>
      </c>
      <c r="M53" s="34">
        <v>1722.548888888889</v>
      </c>
      <c r="O53" s="40" t="s">
        <v>88</v>
      </c>
      <c r="P53" s="72">
        <v>1545.8488888888887</v>
      </c>
      <c r="Q53" s="72">
        <v>1545.8488888888887</v>
      </c>
      <c r="R53" s="72">
        <v>1648.5155555555557</v>
      </c>
      <c r="S53" s="72">
        <v>1576.8488888888887</v>
      </c>
      <c r="U53" s="40" t="s">
        <v>88</v>
      </c>
      <c r="V53" s="34">
        <v>1722.548888888889</v>
      </c>
      <c r="W53" s="34">
        <v>1559.963888888889</v>
      </c>
      <c r="X53" s="34">
        <v>1540.9613888888891</v>
      </c>
      <c r="Y53" s="34">
        <v>1590.318888888889</v>
      </c>
      <c r="Z53" s="34">
        <v>1463.2088888888886</v>
      </c>
    </row>
    <row r="54" spans="1:26" x14ac:dyDescent="0.25">
      <c r="A54" s="40" t="s">
        <v>152</v>
      </c>
      <c r="B54" s="73">
        <v>609.28</v>
      </c>
      <c r="C54" s="73">
        <v>595.22</v>
      </c>
      <c r="D54" s="73">
        <v>602.22400000000005</v>
      </c>
      <c r="E54" s="73">
        <v>607.91999999999996</v>
      </c>
      <c r="F54" s="73">
        <v>584.49599999999998</v>
      </c>
      <c r="H54" s="40" t="s">
        <v>152</v>
      </c>
      <c r="I54" s="34">
        <v>266.8</v>
      </c>
      <c r="J54" s="34">
        <v>266.8</v>
      </c>
      <c r="K54" s="34">
        <v>266.8</v>
      </c>
      <c r="L54" s="34">
        <v>266.8</v>
      </c>
      <c r="M54" s="34">
        <v>266.8</v>
      </c>
      <c r="O54" s="40" t="s">
        <v>359</v>
      </c>
      <c r="P54" s="73">
        <v>602.22400000000005</v>
      </c>
      <c r="Q54" s="73">
        <v>602.22400000000005</v>
      </c>
      <c r="R54" s="73">
        <v>602.22400000000005</v>
      </c>
      <c r="S54" s="73">
        <v>602.22400000000005</v>
      </c>
      <c r="U54" s="40" t="s">
        <v>152</v>
      </c>
      <c r="V54" s="34">
        <v>266.8</v>
      </c>
      <c r="W54" s="34">
        <v>266.8</v>
      </c>
      <c r="X54" s="34">
        <v>266.8</v>
      </c>
      <c r="Y54" s="34">
        <v>266.8</v>
      </c>
      <c r="Z54" s="34">
        <v>266.8</v>
      </c>
    </row>
    <row r="55" spans="1:26" x14ac:dyDescent="0.25">
      <c r="A55" s="44"/>
      <c r="B55" s="74"/>
      <c r="C55" s="74"/>
      <c r="D55" s="74"/>
      <c r="E55" s="74"/>
      <c r="F55" s="74"/>
      <c r="H55" s="44"/>
      <c r="I55" s="33"/>
      <c r="J55" s="33"/>
      <c r="K55" s="33"/>
      <c r="L55" s="33"/>
      <c r="M55" s="33"/>
      <c r="O55" s="44"/>
      <c r="P55" s="33"/>
      <c r="Q55" s="33"/>
      <c r="R55" s="33"/>
      <c r="S55" s="33"/>
      <c r="U55" s="44"/>
      <c r="V55" s="33"/>
      <c r="W55" s="33"/>
      <c r="X55" s="33"/>
      <c r="Y55" s="33"/>
      <c r="Z55" s="33"/>
    </row>
    <row r="56" spans="1:26" x14ac:dyDescent="0.25">
      <c r="A56" s="44"/>
      <c r="B56" s="74"/>
      <c r="C56" s="74"/>
      <c r="D56" s="74"/>
      <c r="E56" s="74"/>
      <c r="F56" s="74"/>
      <c r="H56" s="44"/>
      <c r="I56" s="33"/>
      <c r="J56" s="33"/>
      <c r="K56" s="33"/>
      <c r="L56" s="33"/>
      <c r="M56" s="33"/>
      <c r="O56" s="44"/>
      <c r="P56" s="33"/>
      <c r="Q56" s="33"/>
      <c r="R56" s="33"/>
      <c r="S56" s="33"/>
      <c r="U56" s="44"/>
      <c r="V56" s="33"/>
      <c r="W56" s="33"/>
      <c r="X56" s="33"/>
      <c r="Y56" s="33"/>
      <c r="Z56" s="33"/>
    </row>
    <row r="57" spans="1:26" x14ac:dyDescent="0.25">
      <c r="A57" s="40" t="s">
        <v>85</v>
      </c>
      <c r="B57" s="73"/>
      <c r="C57" s="73"/>
      <c r="D57" s="73"/>
      <c r="E57" s="73"/>
      <c r="F57" s="73"/>
      <c r="H57" s="40" t="s">
        <v>85</v>
      </c>
      <c r="I57" s="34"/>
      <c r="J57" s="34"/>
      <c r="K57" s="34"/>
      <c r="L57" s="34"/>
      <c r="M57" s="34"/>
      <c r="O57" s="40" t="s">
        <v>85</v>
      </c>
      <c r="P57" s="34"/>
      <c r="Q57" s="34"/>
      <c r="R57" s="34"/>
      <c r="S57" s="34"/>
      <c r="U57" s="40" t="s">
        <v>85</v>
      </c>
      <c r="V57" s="34"/>
      <c r="W57" s="34"/>
      <c r="X57" s="34"/>
      <c r="Y57" s="34"/>
      <c r="Z57" s="34"/>
    </row>
    <row r="58" spans="1:26" x14ac:dyDescent="0.25">
      <c r="A58" s="41" t="s">
        <v>84</v>
      </c>
      <c r="B58" s="66" t="s">
        <v>97</v>
      </c>
      <c r="C58" s="66" t="s">
        <v>97</v>
      </c>
      <c r="D58" s="66" t="s">
        <v>97</v>
      </c>
      <c r="E58" s="66" t="s">
        <v>97</v>
      </c>
      <c r="F58" s="66" t="s">
        <v>97</v>
      </c>
      <c r="H58" s="41" t="s">
        <v>84</v>
      </c>
      <c r="I58" s="31" t="s">
        <v>99</v>
      </c>
      <c r="J58" s="31" t="s">
        <v>99</v>
      </c>
      <c r="K58" s="31" t="s">
        <v>99</v>
      </c>
      <c r="L58" s="31" t="s">
        <v>99</v>
      </c>
      <c r="M58" s="31" t="s">
        <v>99</v>
      </c>
      <c r="O58" s="41" t="s">
        <v>84</v>
      </c>
      <c r="P58" s="31" t="s">
        <v>97</v>
      </c>
      <c r="Q58" s="31" t="s">
        <v>97</v>
      </c>
      <c r="R58" s="31" t="s">
        <v>97</v>
      </c>
      <c r="S58" s="31" t="s">
        <v>97</v>
      </c>
      <c r="U58" s="41" t="s">
        <v>84</v>
      </c>
      <c r="V58" s="31" t="s">
        <v>99</v>
      </c>
      <c r="W58" s="31" t="s">
        <v>99</v>
      </c>
      <c r="X58" s="31" t="s">
        <v>99</v>
      </c>
      <c r="Y58" s="31" t="s">
        <v>99</v>
      </c>
      <c r="Z58" s="31" t="s">
        <v>99</v>
      </c>
    </row>
    <row r="59" spans="1:26" x14ac:dyDescent="0.25">
      <c r="A59" s="41" t="s">
        <v>103</v>
      </c>
      <c r="B59" s="71">
        <v>0.14000000000000001</v>
      </c>
      <c r="C59" s="71">
        <v>0.14000000000000001</v>
      </c>
      <c r="D59" s="71">
        <v>0.14000000000000001</v>
      </c>
      <c r="E59" s="71">
        <v>0.14000000000000001</v>
      </c>
      <c r="F59" s="71">
        <v>0.14000000000000001</v>
      </c>
      <c r="H59" s="41" t="s">
        <v>104</v>
      </c>
      <c r="I59" s="38">
        <v>0.14000000000000001</v>
      </c>
      <c r="J59" s="38">
        <v>0.14000000000000001</v>
      </c>
      <c r="K59" s="38">
        <v>0.14000000000000001</v>
      </c>
      <c r="L59" s="38">
        <v>0.14000000000000001</v>
      </c>
      <c r="M59" s="38">
        <v>0.14000000000000001</v>
      </c>
      <c r="O59" s="41" t="s">
        <v>103</v>
      </c>
      <c r="P59" s="38">
        <v>0.14000000000000001</v>
      </c>
      <c r="Q59" s="38">
        <v>0.14000000000000001</v>
      </c>
      <c r="R59" s="38">
        <v>0.14000000000000001</v>
      </c>
      <c r="S59" s="38">
        <v>0.14000000000000001</v>
      </c>
      <c r="U59" s="41" t="s">
        <v>104</v>
      </c>
      <c r="V59" s="38">
        <v>0.14000000000000001</v>
      </c>
      <c r="W59" s="38">
        <v>0.14000000000000001</v>
      </c>
      <c r="X59" s="38">
        <v>0.14000000000000001</v>
      </c>
      <c r="Y59" s="38">
        <v>0.14000000000000001</v>
      </c>
      <c r="Z59" s="38">
        <v>0.14000000000000001</v>
      </c>
    </row>
    <row r="60" spans="1:26" x14ac:dyDescent="0.25">
      <c r="A60" s="41" t="s">
        <v>80</v>
      </c>
      <c r="B60" s="62">
        <v>0</v>
      </c>
      <c r="C60" s="62">
        <v>0</v>
      </c>
      <c r="D60" s="62">
        <v>0</v>
      </c>
      <c r="E60" s="62">
        <v>0</v>
      </c>
      <c r="F60" s="62">
        <v>0</v>
      </c>
      <c r="H60" s="41" t="s">
        <v>80</v>
      </c>
      <c r="I60" s="31">
        <v>0</v>
      </c>
      <c r="J60" s="31">
        <v>0</v>
      </c>
      <c r="K60" s="31">
        <v>0</v>
      </c>
      <c r="L60" s="31">
        <v>0</v>
      </c>
      <c r="M60" s="31">
        <v>0</v>
      </c>
      <c r="O60" s="41" t="s">
        <v>80</v>
      </c>
      <c r="P60" s="31">
        <v>0</v>
      </c>
      <c r="Q60" s="31">
        <v>0</v>
      </c>
      <c r="R60" s="31">
        <v>0</v>
      </c>
      <c r="S60" s="31">
        <v>0</v>
      </c>
      <c r="U60" s="41" t="s">
        <v>80</v>
      </c>
      <c r="V60" s="31">
        <v>0</v>
      </c>
      <c r="W60" s="31">
        <v>0</v>
      </c>
      <c r="X60" s="31">
        <v>0</v>
      </c>
      <c r="Y60" s="31">
        <v>0</v>
      </c>
      <c r="Z60" s="31">
        <v>0</v>
      </c>
    </row>
    <row r="61" spans="1:26" x14ac:dyDescent="0.25">
      <c r="A61" s="41" t="s">
        <v>318</v>
      </c>
      <c r="B61" s="62">
        <v>0</v>
      </c>
      <c r="C61" s="62">
        <v>0</v>
      </c>
      <c r="D61" s="62">
        <v>0</v>
      </c>
      <c r="E61" s="62">
        <v>0</v>
      </c>
      <c r="F61" s="62">
        <v>0</v>
      </c>
      <c r="H61" s="41" t="s">
        <v>310</v>
      </c>
      <c r="I61" s="31">
        <v>0</v>
      </c>
      <c r="J61" s="31">
        <v>0</v>
      </c>
      <c r="K61" s="31">
        <v>0</v>
      </c>
      <c r="L61" s="31">
        <v>0</v>
      </c>
      <c r="M61" s="31">
        <v>0</v>
      </c>
      <c r="O61" s="41" t="s">
        <v>318</v>
      </c>
      <c r="P61" s="31">
        <v>0</v>
      </c>
      <c r="Q61" s="31">
        <v>0</v>
      </c>
      <c r="R61" s="31">
        <v>0</v>
      </c>
      <c r="S61" s="31">
        <v>0</v>
      </c>
      <c r="U61" s="41" t="s">
        <v>310</v>
      </c>
      <c r="V61" s="31">
        <v>0</v>
      </c>
      <c r="W61" s="31">
        <v>0</v>
      </c>
      <c r="X61" s="31">
        <v>0</v>
      </c>
      <c r="Y61" s="31">
        <v>0</v>
      </c>
      <c r="Z61" s="31">
        <v>0</v>
      </c>
    </row>
    <row r="62" spans="1:26" x14ac:dyDescent="0.25">
      <c r="A62" s="43"/>
      <c r="B62" s="63"/>
      <c r="C62" s="63"/>
      <c r="D62" s="63"/>
      <c r="E62" s="63"/>
      <c r="F62" s="63"/>
      <c r="H62" s="43"/>
      <c r="I62" s="33"/>
      <c r="J62" s="33"/>
      <c r="K62" s="33"/>
      <c r="L62" s="33"/>
      <c r="M62" s="33"/>
      <c r="O62" s="43"/>
      <c r="P62" s="33"/>
      <c r="Q62" s="33"/>
      <c r="R62" s="33"/>
      <c r="S62" s="33"/>
      <c r="U62" s="43"/>
      <c r="V62" s="33"/>
      <c r="W62" s="33"/>
      <c r="X62" s="33"/>
      <c r="Y62" s="33"/>
      <c r="Z62" s="33"/>
    </row>
    <row r="63" spans="1:26" x14ac:dyDescent="0.25">
      <c r="A63" s="43"/>
      <c r="B63" s="63"/>
      <c r="C63" s="63"/>
      <c r="D63" s="63"/>
      <c r="E63" s="63"/>
      <c r="F63" s="63"/>
      <c r="H63" s="43"/>
      <c r="I63" s="33"/>
      <c r="J63" s="33"/>
      <c r="K63" s="33"/>
      <c r="L63" s="33"/>
      <c r="M63" s="33"/>
      <c r="O63" s="43"/>
      <c r="P63" s="33"/>
      <c r="Q63" s="33"/>
      <c r="R63" s="33"/>
      <c r="S63" s="33"/>
      <c r="U63" s="43"/>
      <c r="V63" s="33"/>
      <c r="W63" s="33"/>
      <c r="X63" s="33"/>
      <c r="Y63" s="33"/>
      <c r="Z63" s="33"/>
    </row>
    <row r="64" spans="1:26" x14ac:dyDescent="0.25">
      <c r="A64" s="43"/>
      <c r="B64" s="63"/>
      <c r="C64" s="63"/>
      <c r="D64" s="63"/>
      <c r="E64" s="63"/>
      <c r="F64" s="63"/>
      <c r="H64" s="43"/>
      <c r="I64" s="33"/>
      <c r="J64" s="33"/>
      <c r="K64" s="33"/>
      <c r="L64" s="33"/>
      <c r="M64" s="33"/>
      <c r="O64" s="43"/>
      <c r="P64" s="33"/>
      <c r="Q64" s="33"/>
      <c r="R64" s="33"/>
      <c r="S64" s="33"/>
      <c r="U64" s="43"/>
      <c r="V64" s="33"/>
      <c r="W64" s="33"/>
      <c r="X64" s="33"/>
      <c r="Y64" s="33"/>
      <c r="Z64" s="33"/>
    </row>
    <row r="65" spans="1:26" ht="18.75" x14ac:dyDescent="0.3">
      <c r="A65" s="45" t="s">
        <v>115</v>
      </c>
      <c r="B65" s="64">
        <v>-372.11111111111131</v>
      </c>
      <c r="C65" s="64">
        <v>-292.11111111111131</v>
      </c>
      <c r="D65" s="64">
        <v>-377.15111111111128</v>
      </c>
      <c r="E65" s="64">
        <v>-529.11111111111131</v>
      </c>
      <c r="F65" s="64">
        <v>105.78888888888901</v>
      </c>
      <c r="H65" s="45" t="s">
        <v>114</v>
      </c>
      <c r="I65" s="36">
        <v>319.94888888888909</v>
      </c>
      <c r="J65" s="36">
        <v>233.21555555555574</v>
      </c>
      <c r="K65" s="36">
        <v>203.548888888889</v>
      </c>
      <c r="L65" s="36">
        <v>165.548888888889</v>
      </c>
      <c r="M65" s="36">
        <v>130.548888888889</v>
      </c>
      <c r="O65" s="45" t="s">
        <v>115</v>
      </c>
      <c r="P65" s="75">
        <v>-377.15111111111128</v>
      </c>
      <c r="Q65" s="75">
        <v>-307.15111111111128</v>
      </c>
      <c r="R65" s="75">
        <v>-274.48444444444431</v>
      </c>
      <c r="S65" s="75">
        <v>-346.15111111111128</v>
      </c>
      <c r="U65" s="45" t="s">
        <v>114</v>
      </c>
      <c r="V65" s="36">
        <v>130.548888888889</v>
      </c>
      <c r="W65" s="36">
        <v>-120.03611111111104</v>
      </c>
      <c r="X65" s="36">
        <v>-183.03861111111087</v>
      </c>
      <c r="Y65" s="36">
        <v>-141.68111111111102</v>
      </c>
      <c r="Z65" s="36">
        <v>-178.79111111111138</v>
      </c>
    </row>
    <row r="71" spans="1:26" ht="15.75" thickBot="1" x14ac:dyDescent="0.3"/>
    <row r="72" spans="1:26" x14ac:dyDescent="0.25">
      <c r="A72" s="39" t="s">
        <v>12</v>
      </c>
      <c r="B72" s="20" t="s">
        <v>8</v>
      </c>
      <c r="C72" s="20" t="s">
        <v>15</v>
      </c>
      <c r="D72" s="20" t="s">
        <v>13</v>
      </c>
      <c r="E72" s="20" t="s">
        <v>14</v>
      </c>
      <c r="F72" s="20" t="s">
        <v>16</v>
      </c>
    </row>
    <row r="73" spans="1:26" x14ac:dyDescent="0.25">
      <c r="A73" s="39" t="s">
        <v>19</v>
      </c>
      <c r="B73" s="21" t="s">
        <v>29</v>
      </c>
      <c r="C73" s="21" t="s">
        <v>29</v>
      </c>
      <c r="D73" s="21" t="s">
        <v>29</v>
      </c>
      <c r="E73" s="21" t="s">
        <v>29</v>
      </c>
      <c r="F73" s="21" t="s">
        <v>29</v>
      </c>
    </row>
    <row r="74" spans="1:26" x14ac:dyDescent="0.25">
      <c r="A74" s="39" t="s">
        <v>39</v>
      </c>
      <c r="B74" s="22">
        <v>0.14000000000000001</v>
      </c>
      <c r="C74" s="22">
        <v>0.14000000000000001</v>
      </c>
      <c r="D74" s="22">
        <v>0.14000000000000001</v>
      </c>
      <c r="E74" s="22">
        <v>0.14000000000000001</v>
      </c>
      <c r="F74" s="22">
        <v>0.14000000000000001</v>
      </c>
    </row>
    <row r="75" spans="1:26" x14ac:dyDescent="0.25">
      <c r="A75" s="39" t="s">
        <v>36</v>
      </c>
      <c r="B75" s="22" t="s">
        <v>131</v>
      </c>
      <c r="C75" s="22" t="s">
        <v>131</v>
      </c>
      <c r="D75" s="22" t="s">
        <v>131</v>
      </c>
      <c r="E75" s="22" t="s">
        <v>131</v>
      </c>
      <c r="F75" s="22" t="s">
        <v>131</v>
      </c>
    </row>
    <row r="76" spans="1:26" ht="15.75" thickBot="1" x14ac:dyDescent="0.3">
      <c r="A76" s="39" t="s">
        <v>37</v>
      </c>
      <c r="B76" s="23">
        <v>0</v>
      </c>
      <c r="C76" s="23">
        <v>0</v>
      </c>
      <c r="D76" s="23">
        <v>0</v>
      </c>
      <c r="E76" s="23">
        <v>0</v>
      </c>
      <c r="F76" s="23">
        <v>0</v>
      </c>
    </row>
    <row r="77" spans="1:26" x14ac:dyDescent="0.25">
      <c r="A77" s="39" t="s">
        <v>11</v>
      </c>
      <c r="B77" s="21">
        <v>1</v>
      </c>
      <c r="C77" s="21">
        <v>1</v>
      </c>
      <c r="D77" s="21">
        <v>1</v>
      </c>
      <c r="E77" s="21">
        <v>1</v>
      </c>
      <c r="F77" s="21">
        <v>1</v>
      </c>
    </row>
    <row r="78" spans="1:26" ht="15.75" thickBot="1" x14ac:dyDescent="0.3">
      <c r="A78" s="39" t="s">
        <v>118</v>
      </c>
      <c r="B78" s="23">
        <v>0</v>
      </c>
      <c r="C78" s="23">
        <v>0</v>
      </c>
      <c r="D78" s="23">
        <v>0</v>
      </c>
      <c r="E78" s="23">
        <v>0</v>
      </c>
      <c r="F78" s="23">
        <v>0</v>
      </c>
    </row>
    <row r="79" spans="1:26" x14ac:dyDescent="0.25">
      <c r="A79" s="39" t="s">
        <v>119</v>
      </c>
      <c r="B79" s="21">
        <v>7</v>
      </c>
      <c r="C79" s="21">
        <v>7</v>
      </c>
      <c r="D79" s="21">
        <v>7</v>
      </c>
      <c r="E79" s="21">
        <v>7</v>
      </c>
      <c r="F79" s="21">
        <v>7</v>
      </c>
    </row>
    <row r="80" spans="1:26" x14ac:dyDescent="0.25">
      <c r="A80" s="39" t="s">
        <v>41</v>
      </c>
      <c r="B80" s="21">
        <v>0</v>
      </c>
      <c r="C80" s="21">
        <v>0</v>
      </c>
      <c r="D80" s="21">
        <v>0</v>
      </c>
      <c r="E80" s="21">
        <v>0</v>
      </c>
      <c r="F80" s="21">
        <v>0</v>
      </c>
    </row>
    <row r="81" spans="1:6" x14ac:dyDescent="0.25">
      <c r="A81" s="39" t="s">
        <v>112</v>
      </c>
      <c r="B81" s="21">
        <v>0</v>
      </c>
      <c r="C81" s="21">
        <v>0</v>
      </c>
      <c r="D81" s="21">
        <v>0</v>
      </c>
      <c r="E81" s="21">
        <v>0</v>
      </c>
      <c r="F81" s="21">
        <v>0</v>
      </c>
    </row>
    <row r="82" spans="1:6" x14ac:dyDescent="0.25">
      <c r="A82" s="39" t="s">
        <v>142</v>
      </c>
      <c r="B82" s="22">
        <v>0</v>
      </c>
      <c r="C82" s="22">
        <v>0</v>
      </c>
      <c r="D82" s="22">
        <v>0</v>
      </c>
      <c r="E82" s="22">
        <v>0</v>
      </c>
      <c r="F82" s="22">
        <v>0</v>
      </c>
    </row>
    <row r="83" spans="1:6" x14ac:dyDescent="0.25">
      <c r="A83" s="39" t="s">
        <v>38</v>
      </c>
      <c r="B83" s="21">
        <v>0</v>
      </c>
      <c r="C83" s="21">
        <v>0</v>
      </c>
      <c r="D83" s="21">
        <v>0</v>
      </c>
      <c r="E83" s="21">
        <v>0</v>
      </c>
      <c r="F83" s="21">
        <v>0</v>
      </c>
    </row>
    <row r="84" spans="1:6" x14ac:dyDescent="0.25">
      <c r="A84" s="39" t="s">
        <v>113</v>
      </c>
      <c r="B84" s="22">
        <v>0</v>
      </c>
      <c r="C84" s="22">
        <v>0</v>
      </c>
      <c r="D84" s="22">
        <v>0</v>
      </c>
      <c r="E84" s="22">
        <v>0</v>
      </c>
      <c r="F84" s="22">
        <v>0</v>
      </c>
    </row>
    <row r="85" spans="1:6" ht="15.75" thickBot="1" x14ac:dyDescent="0.3">
      <c r="A85" s="39"/>
      <c r="B85" s="23"/>
      <c r="C85" s="23"/>
      <c r="D85" s="23"/>
      <c r="E85" s="23"/>
      <c r="F85" s="23"/>
    </row>
    <row r="86" spans="1:6" x14ac:dyDescent="0.25">
      <c r="A86" s="40" t="s">
        <v>96</v>
      </c>
      <c r="B86" s="21">
        <v>0.9</v>
      </c>
      <c r="C86" s="21">
        <v>0.9</v>
      </c>
      <c r="D86" s="21">
        <v>0.9</v>
      </c>
      <c r="E86" s="21">
        <v>0.9</v>
      </c>
      <c r="F86" s="21">
        <v>0.9</v>
      </c>
    </row>
    <row r="87" spans="1:6" x14ac:dyDescent="0.25">
      <c r="A87" s="41" t="s">
        <v>84</v>
      </c>
      <c r="B87" s="21" t="s">
        <v>99</v>
      </c>
      <c r="C87" s="21" t="s">
        <v>99</v>
      </c>
      <c r="D87" s="21" t="s">
        <v>99</v>
      </c>
      <c r="E87" s="21" t="s">
        <v>99</v>
      </c>
      <c r="F87" s="21" t="s">
        <v>99</v>
      </c>
    </row>
    <row r="88" spans="1:6" x14ac:dyDescent="0.25">
      <c r="A88" s="41" t="s">
        <v>103</v>
      </c>
      <c r="B88" s="22">
        <v>0.14000000000000001</v>
      </c>
      <c r="C88" s="22">
        <v>0.14000000000000001</v>
      </c>
      <c r="D88" s="22">
        <v>0.14000000000000001</v>
      </c>
      <c r="E88" s="22">
        <v>0.14000000000000001</v>
      </c>
      <c r="F88" s="22">
        <v>0.14000000000000001</v>
      </c>
    </row>
    <row r="89" spans="1:6" x14ac:dyDescent="0.25">
      <c r="A89" s="41" t="s">
        <v>305</v>
      </c>
      <c r="B89" s="21">
        <v>0</v>
      </c>
      <c r="C89" s="21">
        <v>0</v>
      </c>
      <c r="D89" s="21">
        <v>0</v>
      </c>
      <c r="E89" s="21">
        <v>0</v>
      </c>
      <c r="F89" s="21">
        <v>0</v>
      </c>
    </row>
    <row r="90" spans="1:6" ht="15.75" thickBot="1" x14ac:dyDescent="0.3">
      <c r="A90" s="39"/>
      <c r="B90" s="21"/>
      <c r="C90" s="21"/>
      <c r="D90" s="21"/>
      <c r="E90" s="21"/>
      <c r="F90" s="21"/>
    </row>
    <row r="91" spans="1:6" x14ac:dyDescent="0.25">
      <c r="A91" s="42" t="s">
        <v>66</v>
      </c>
      <c r="B91" s="29">
        <v>2079.4349999999999</v>
      </c>
      <c r="C91" s="30">
        <v>2020.2750000000001</v>
      </c>
      <c r="D91" s="30">
        <v>1779.3849999999998</v>
      </c>
      <c r="E91" s="30">
        <v>2139.7849999999999</v>
      </c>
      <c r="F91" s="30">
        <v>2186.6208333333329</v>
      </c>
    </row>
    <row r="92" spans="1:6" x14ac:dyDescent="0.25">
      <c r="A92" s="40" t="s">
        <v>135</v>
      </c>
      <c r="B92" s="31">
        <v>0.9</v>
      </c>
      <c r="C92" s="31">
        <v>0.9</v>
      </c>
      <c r="D92" s="31">
        <v>0.9</v>
      </c>
      <c r="E92" s="31">
        <v>0.9</v>
      </c>
      <c r="F92" s="31">
        <v>0.9</v>
      </c>
    </row>
    <row r="93" spans="1:6" x14ac:dyDescent="0.25">
      <c r="A93" s="41" t="s">
        <v>0</v>
      </c>
      <c r="B93" s="37">
        <v>0.14000000000000001</v>
      </c>
      <c r="C93" s="37">
        <v>0.19</v>
      </c>
      <c r="D93" s="37">
        <v>0.14000000000000001</v>
      </c>
      <c r="E93" s="37">
        <v>0.14000000000000001</v>
      </c>
      <c r="F93" s="37">
        <v>0.18000000000000002</v>
      </c>
    </row>
    <row r="94" spans="1:6" x14ac:dyDescent="0.25">
      <c r="A94" s="41" t="s">
        <v>1</v>
      </c>
      <c r="B94" s="32">
        <v>0</v>
      </c>
      <c r="C94" s="32">
        <v>0</v>
      </c>
      <c r="D94" s="32">
        <v>0</v>
      </c>
      <c r="E94" s="32">
        <v>0</v>
      </c>
      <c r="F94" s="32">
        <v>0</v>
      </c>
    </row>
    <row r="95" spans="1:6" x14ac:dyDescent="0.25">
      <c r="A95" s="40" t="s">
        <v>89</v>
      </c>
      <c r="B95" s="31">
        <v>1609</v>
      </c>
      <c r="C95" s="31">
        <v>1473</v>
      </c>
      <c r="D95" s="31">
        <v>1377</v>
      </c>
      <c r="E95" s="31">
        <v>1656</v>
      </c>
      <c r="F95" s="31">
        <v>1614</v>
      </c>
    </row>
    <row r="96" spans="1:6" x14ac:dyDescent="0.25">
      <c r="A96" s="49" t="s">
        <v>18</v>
      </c>
      <c r="B96" s="32">
        <v>262.49150000000009</v>
      </c>
      <c r="C96" s="32">
        <v>345.24750000000017</v>
      </c>
      <c r="D96" s="32">
        <v>224.44649999999979</v>
      </c>
      <c r="E96" s="32">
        <v>269.80649999999991</v>
      </c>
      <c r="F96" s="32">
        <v>353.95874999999978</v>
      </c>
    </row>
    <row r="97" spans="1:6" x14ac:dyDescent="0.25">
      <c r="A97" s="41"/>
      <c r="B97" s="32"/>
      <c r="C97" s="32"/>
      <c r="D97" s="32"/>
      <c r="E97" s="32"/>
      <c r="F97" s="32"/>
    </row>
    <row r="98" spans="1:6" x14ac:dyDescent="0.25">
      <c r="A98" s="41" t="s">
        <v>2</v>
      </c>
      <c r="B98" s="32">
        <v>514</v>
      </c>
      <c r="C98" s="32">
        <v>514</v>
      </c>
      <c r="D98" s="32">
        <v>514</v>
      </c>
      <c r="E98" s="32">
        <v>514</v>
      </c>
      <c r="F98" s="32">
        <v>514</v>
      </c>
    </row>
    <row r="99" spans="1:6" x14ac:dyDescent="0.25">
      <c r="A99" s="41" t="s">
        <v>3</v>
      </c>
      <c r="B99" s="28">
        <v>1.07</v>
      </c>
      <c r="C99" s="28">
        <v>1.02</v>
      </c>
      <c r="D99" s="28">
        <v>1.04</v>
      </c>
      <c r="E99" s="28">
        <v>0.92</v>
      </c>
      <c r="F99" s="28">
        <v>0.92</v>
      </c>
    </row>
    <row r="100" spans="1:6" x14ac:dyDescent="0.25">
      <c r="A100" s="41" t="s">
        <v>4</v>
      </c>
      <c r="B100" s="32">
        <v>174</v>
      </c>
      <c r="C100" s="32">
        <v>174</v>
      </c>
      <c r="D100" s="32">
        <v>174</v>
      </c>
      <c r="E100" s="32">
        <v>174</v>
      </c>
      <c r="F100" s="32">
        <v>174</v>
      </c>
    </row>
    <row r="101" spans="1:6" x14ac:dyDescent="0.25">
      <c r="A101" s="40" t="s">
        <v>5</v>
      </c>
      <c r="B101" s="31">
        <v>1424</v>
      </c>
      <c r="C101" s="31">
        <v>1390</v>
      </c>
      <c r="D101" s="31">
        <v>1404</v>
      </c>
      <c r="E101" s="31">
        <v>1321</v>
      </c>
      <c r="F101" s="31">
        <v>1321</v>
      </c>
    </row>
    <row r="102" spans="1:6" x14ac:dyDescent="0.25">
      <c r="A102" s="49" t="s">
        <v>6</v>
      </c>
      <c r="B102" s="31">
        <v>712</v>
      </c>
      <c r="C102" s="31">
        <v>695</v>
      </c>
      <c r="D102" s="31">
        <v>702</v>
      </c>
      <c r="E102" s="31">
        <v>661</v>
      </c>
      <c r="F102" s="31">
        <v>661</v>
      </c>
    </row>
    <row r="103" spans="1:6" x14ac:dyDescent="0.25">
      <c r="A103" s="43"/>
      <c r="B103" s="33"/>
      <c r="C103" s="33"/>
      <c r="D103" s="33"/>
      <c r="E103" s="33"/>
      <c r="F103" s="33"/>
    </row>
    <row r="104" spans="1:6" x14ac:dyDescent="0.25">
      <c r="A104" s="40" t="s">
        <v>67</v>
      </c>
      <c r="B104" s="31">
        <v>974.49150000000009</v>
      </c>
      <c r="C104" s="31">
        <v>1040.2475000000002</v>
      </c>
      <c r="D104" s="31">
        <v>926.44649999999979</v>
      </c>
      <c r="E104" s="31">
        <v>930.80649999999991</v>
      </c>
      <c r="F104" s="31">
        <v>1014.9587499999998</v>
      </c>
    </row>
    <row r="105" spans="1:6" x14ac:dyDescent="0.25">
      <c r="A105" s="40" t="s">
        <v>40</v>
      </c>
      <c r="B105" s="31">
        <v>174</v>
      </c>
      <c r="C105" s="31">
        <v>174</v>
      </c>
      <c r="D105" s="31">
        <v>174</v>
      </c>
      <c r="E105" s="31">
        <v>174</v>
      </c>
      <c r="F105" s="31">
        <v>174</v>
      </c>
    </row>
    <row r="106" spans="1:6" x14ac:dyDescent="0.25">
      <c r="A106" s="49" t="s">
        <v>117</v>
      </c>
      <c r="B106" s="31">
        <v>-634.50849999999991</v>
      </c>
      <c r="C106" s="31">
        <v>-432.75249999999983</v>
      </c>
      <c r="D106" s="31">
        <v>-450.55350000000021</v>
      </c>
      <c r="E106" s="31">
        <v>-725.19350000000009</v>
      </c>
      <c r="F106" s="31">
        <v>-599.04125000000022</v>
      </c>
    </row>
    <row r="107" spans="1:6" x14ac:dyDescent="0.25">
      <c r="A107" s="43"/>
      <c r="B107" s="33"/>
      <c r="C107" s="33"/>
      <c r="D107" s="33"/>
      <c r="E107" s="33"/>
      <c r="F107" s="33"/>
    </row>
    <row r="108" spans="1:6" x14ac:dyDescent="0.25">
      <c r="A108" s="40" t="s">
        <v>309</v>
      </c>
      <c r="B108" s="34"/>
      <c r="C108" s="34"/>
      <c r="D108" s="34"/>
      <c r="E108" s="34"/>
      <c r="F108" s="34"/>
    </row>
    <row r="109" spans="1:6" x14ac:dyDescent="0.25">
      <c r="A109" s="41"/>
      <c r="B109" s="32"/>
      <c r="C109" s="32"/>
      <c r="D109" s="32"/>
      <c r="E109" s="32"/>
      <c r="F109" s="32"/>
    </row>
    <row r="110" spans="1:6" x14ac:dyDescent="0.25">
      <c r="A110" s="41" t="s">
        <v>93</v>
      </c>
      <c r="B110" s="32">
        <v>0</v>
      </c>
      <c r="C110" s="32">
        <v>0</v>
      </c>
      <c r="D110" s="32">
        <v>163.96</v>
      </c>
      <c r="E110" s="32">
        <v>0</v>
      </c>
      <c r="F110" s="32">
        <v>0</v>
      </c>
    </row>
    <row r="111" spans="1:6" x14ac:dyDescent="0.25">
      <c r="A111" s="41" t="s">
        <v>76</v>
      </c>
      <c r="B111" s="32">
        <v>309.89999999999998</v>
      </c>
      <c r="C111" s="32">
        <v>0</v>
      </c>
      <c r="D111" s="32">
        <v>0</v>
      </c>
      <c r="E111" s="32">
        <v>0</v>
      </c>
      <c r="F111" s="32">
        <v>0</v>
      </c>
    </row>
    <row r="112" spans="1:6" x14ac:dyDescent="0.25">
      <c r="A112" s="41" t="s">
        <v>95</v>
      </c>
      <c r="B112" s="32">
        <v>0</v>
      </c>
      <c r="C112" s="32">
        <v>0</v>
      </c>
      <c r="D112" s="32">
        <v>0</v>
      </c>
      <c r="E112" s="32">
        <v>0</v>
      </c>
      <c r="F112" s="32">
        <v>0</v>
      </c>
    </row>
    <row r="113" spans="1:6" x14ac:dyDescent="0.25">
      <c r="A113" s="41" t="s">
        <v>79</v>
      </c>
      <c r="B113" s="32">
        <v>0</v>
      </c>
      <c r="C113" s="32">
        <v>0</v>
      </c>
      <c r="D113" s="32">
        <v>0</v>
      </c>
      <c r="E113" s="32">
        <v>184</v>
      </c>
      <c r="F113" s="32">
        <v>0</v>
      </c>
    </row>
    <row r="114" spans="1:6" x14ac:dyDescent="0.25">
      <c r="A114" s="41" t="s">
        <v>86</v>
      </c>
      <c r="B114" s="35">
        <v>198</v>
      </c>
      <c r="C114" s="35">
        <v>198</v>
      </c>
      <c r="D114" s="35">
        <v>198</v>
      </c>
      <c r="E114" s="35">
        <v>198</v>
      </c>
      <c r="F114" s="35">
        <v>198</v>
      </c>
    </row>
    <row r="115" spans="1:6" x14ac:dyDescent="0.25">
      <c r="A115" s="41" t="s">
        <v>138</v>
      </c>
      <c r="B115" s="35">
        <v>172.48888888888888</v>
      </c>
      <c r="C115" s="35">
        <v>172.48888888888888</v>
      </c>
      <c r="D115" s="35">
        <v>172.48888888888888</v>
      </c>
      <c r="E115" s="35">
        <v>172.48888888888888</v>
      </c>
      <c r="F115" s="35">
        <v>172.48888888888888</v>
      </c>
    </row>
    <row r="116" spans="1:6" x14ac:dyDescent="0.25">
      <c r="A116" s="41" t="s">
        <v>120</v>
      </c>
      <c r="B116" s="35">
        <v>0</v>
      </c>
      <c r="C116" s="35">
        <v>0</v>
      </c>
      <c r="D116" s="35">
        <v>0</v>
      </c>
      <c r="E116" s="35">
        <v>0</v>
      </c>
      <c r="F116" s="35">
        <v>0</v>
      </c>
    </row>
    <row r="117" spans="1:6" x14ac:dyDescent="0.25">
      <c r="A117" s="41" t="s">
        <v>180</v>
      </c>
      <c r="B117" s="35">
        <v>0</v>
      </c>
      <c r="C117" s="35">
        <v>0</v>
      </c>
      <c r="D117" s="35">
        <v>0</v>
      </c>
      <c r="E117" s="35">
        <v>0</v>
      </c>
      <c r="F117" s="35">
        <v>0</v>
      </c>
    </row>
    <row r="118" spans="1:6" x14ac:dyDescent="0.25">
      <c r="A118" s="41" t="s">
        <v>94</v>
      </c>
      <c r="B118" s="32">
        <v>71.399999999999991</v>
      </c>
      <c r="C118" s="32">
        <v>71.399999999999991</v>
      </c>
      <c r="D118" s="32">
        <v>71.399999999999991</v>
      </c>
      <c r="E118" s="32">
        <v>71.399999999999991</v>
      </c>
      <c r="F118" s="32">
        <v>71.399999999999991</v>
      </c>
    </row>
    <row r="119" spans="1:6" x14ac:dyDescent="0.25">
      <c r="A119" s="39" t="s">
        <v>307</v>
      </c>
      <c r="B119" s="28">
        <v>0.2</v>
      </c>
      <c r="C119" s="28">
        <v>0.2</v>
      </c>
      <c r="D119" s="28">
        <v>0.2</v>
      </c>
      <c r="E119" s="28">
        <v>0.2</v>
      </c>
      <c r="F119" s="28">
        <v>0.2</v>
      </c>
    </row>
    <row r="120" spans="1:6" x14ac:dyDescent="0.25">
      <c r="A120" s="39" t="s">
        <v>308</v>
      </c>
      <c r="B120" s="28">
        <v>0.1</v>
      </c>
      <c r="C120" s="28">
        <v>0.1</v>
      </c>
      <c r="D120" s="28">
        <v>0.1</v>
      </c>
      <c r="E120" s="28">
        <v>0.1</v>
      </c>
      <c r="F120" s="28">
        <v>0.1</v>
      </c>
    </row>
    <row r="121" spans="1:6" x14ac:dyDescent="0.25">
      <c r="A121" s="39" t="s">
        <v>139</v>
      </c>
      <c r="B121" s="28">
        <v>0.1</v>
      </c>
      <c r="C121" s="28">
        <v>0.1</v>
      </c>
      <c r="D121" s="28">
        <v>0.1</v>
      </c>
      <c r="E121" s="28">
        <v>0.1</v>
      </c>
      <c r="F121" s="28">
        <v>0.1</v>
      </c>
    </row>
    <row r="122" spans="1:6" x14ac:dyDescent="0.25">
      <c r="A122" s="40" t="s">
        <v>88</v>
      </c>
      <c r="B122" s="34">
        <v>1726.2803888888889</v>
      </c>
      <c r="C122" s="34">
        <v>1482.1363888888891</v>
      </c>
      <c r="D122" s="34">
        <v>1532.2953888888887</v>
      </c>
      <c r="E122" s="34">
        <v>1556.6953888888888</v>
      </c>
      <c r="F122" s="34">
        <v>1456.8476388888887</v>
      </c>
    </row>
    <row r="123" spans="1:6" x14ac:dyDescent="0.25">
      <c r="A123" s="40" t="s">
        <v>152</v>
      </c>
      <c r="B123" s="34">
        <v>266.8</v>
      </c>
      <c r="C123" s="34">
        <v>266.8</v>
      </c>
      <c r="D123" s="34">
        <v>266.8</v>
      </c>
      <c r="E123" s="34">
        <v>266.8</v>
      </c>
      <c r="F123" s="34">
        <v>266.8</v>
      </c>
    </row>
    <row r="124" spans="1:6" x14ac:dyDescent="0.25">
      <c r="A124" s="44"/>
      <c r="B124" s="33"/>
      <c r="C124" s="33"/>
      <c r="D124" s="33"/>
      <c r="E124" s="33"/>
      <c r="F124" s="33"/>
    </row>
    <row r="125" spans="1:6" x14ac:dyDescent="0.25">
      <c r="A125" s="44"/>
      <c r="B125" s="33"/>
      <c r="C125" s="33"/>
      <c r="D125" s="33"/>
      <c r="E125" s="33"/>
      <c r="F125" s="33"/>
    </row>
    <row r="126" spans="1:6" x14ac:dyDescent="0.25">
      <c r="A126" s="40" t="s">
        <v>85</v>
      </c>
      <c r="B126" s="34"/>
      <c r="C126" s="34"/>
      <c r="D126" s="34"/>
      <c r="E126" s="34"/>
      <c r="F126" s="34"/>
    </row>
    <row r="127" spans="1:6" x14ac:dyDescent="0.25">
      <c r="A127" s="41" t="s">
        <v>84</v>
      </c>
      <c r="B127" s="31" t="s">
        <v>99</v>
      </c>
      <c r="C127" s="31" t="s">
        <v>99</v>
      </c>
      <c r="D127" s="31" t="s">
        <v>99</v>
      </c>
      <c r="E127" s="31" t="s">
        <v>99</v>
      </c>
      <c r="F127" s="31" t="s">
        <v>99</v>
      </c>
    </row>
    <row r="128" spans="1:6" x14ac:dyDescent="0.25">
      <c r="A128" s="41" t="s">
        <v>104</v>
      </c>
      <c r="B128" s="38">
        <v>0.14000000000000001</v>
      </c>
      <c r="C128" s="38">
        <v>0.14000000000000001</v>
      </c>
      <c r="D128" s="38">
        <v>0.14000000000000001</v>
      </c>
      <c r="E128" s="38">
        <v>0.14000000000000001</v>
      </c>
      <c r="F128" s="38">
        <v>0.14000000000000001</v>
      </c>
    </row>
    <row r="129" spans="1:6" x14ac:dyDescent="0.25">
      <c r="A129" s="41" t="s">
        <v>80</v>
      </c>
      <c r="B129" s="31">
        <v>0</v>
      </c>
      <c r="C129" s="31">
        <v>0</v>
      </c>
      <c r="D129" s="31">
        <v>0</v>
      </c>
      <c r="E129" s="31">
        <v>0</v>
      </c>
      <c r="F129" s="31">
        <v>0</v>
      </c>
    </row>
    <row r="130" spans="1:6" x14ac:dyDescent="0.25">
      <c r="A130" s="41" t="s">
        <v>310</v>
      </c>
      <c r="B130" s="31">
        <v>0</v>
      </c>
      <c r="C130" s="31">
        <v>0</v>
      </c>
      <c r="D130" s="31">
        <v>0</v>
      </c>
      <c r="E130" s="31">
        <v>0</v>
      </c>
      <c r="F130" s="31">
        <v>0</v>
      </c>
    </row>
    <row r="131" spans="1:6" x14ac:dyDescent="0.25">
      <c r="A131" s="43"/>
      <c r="B131" s="33"/>
      <c r="C131" s="33"/>
      <c r="D131" s="33"/>
      <c r="E131" s="33"/>
      <c r="F131" s="33"/>
    </row>
    <row r="132" spans="1:6" x14ac:dyDescent="0.25">
      <c r="A132" s="43"/>
      <c r="B132" s="33"/>
      <c r="C132" s="33"/>
      <c r="D132" s="33"/>
      <c r="E132" s="33"/>
      <c r="F132" s="33"/>
    </row>
    <row r="133" spans="1:6" x14ac:dyDescent="0.25">
      <c r="A133" s="43"/>
      <c r="B133" s="33"/>
      <c r="C133" s="33"/>
      <c r="D133" s="33"/>
      <c r="E133" s="33"/>
      <c r="F133" s="33"/>
    </row>
    <row r="134" spans="1:6" ht="18.75" x14ac:dyDescent="0.3">
      <c r="A134" s="45" t="s">
        <v>114</v>
      </c>
      <c r="B134" s="36">
        <v>117.28038888888887</v>
      </c>
      <c r="C134" s="36">
        <v>9.136388888889087</v>
      </c>
      <c r="D134" s="36">
        <v>155.29538888888874</v>
      </c>
      <c r="E134" s="36">
        <v>-99.304611111111171</v>
      </c>
      <c r="F134" s="36">
        <v>-157.1523611111113</v>
      </c>
    </row>
  </sheetData>
  <pageMargins left="0" right="0" top="0" bottom="0" header="0" footer="0"/>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8</vt:i4>
      </vt:variant>
    </vt:vector>
  </HeadingPairs>
  <TitlesOfParts>
    <vt:vector size="8" baseType="lpstr">
      <vt:lpstr>Average Base Cost &amp; Ultigen</vt:lpstr>
      <vt:lpstr>Magicka Sheet</vt:lpstr>
      <vt:lpstr>Stamina Sheet</vt:lpstr>
      <vt:lpstr>Class Data (Do not modify)</vt:lpstr>
      <vt:lpstr>Skill Data (Do Not Modify)</vt:lpstr>
      <vt:lpstr>Example Rotations</vt:lpstr>
      <vt:lpstr>Altmer vs Breton</vt:lpstr>
      <vt:lpstr>Comparisons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Marcel Rüenaufer</dc:creator>
  <cp:lastModifiedBy>Marcel Rüenaufer</cp:lastModifiedBy>
  <dcterms:created xsi:type="dcterms:W3CDTF">2017-05-08T20:10:41Z</dcterms:created>
  <dcterms:modified xsi:type="dcterms:W3CDTF">2017-07-12T21:24:04Z</dcterms:modified>
</cp:coreProperties>
</file>