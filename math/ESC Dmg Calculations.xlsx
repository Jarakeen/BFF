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Scaling" sheetId="2" r:id="rId6"/>
    <sheet state="visible" name="Staff" sheetId="3" r:id="rId7"/>
    <sheet state="visible" name="Bow" sheetId="4" r:id="rId8"/>
    <sheet state="visible" name="Axe" sheetId="5" r:id="rId9"/>
    <sheet state="visible" name="Sword" sheetId="6" r:id="rId10"/>
    <sheet state="visible" name="Dagger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Multiplier for special attacks
</t>
      </text>
    </comment>
    <comment authorId="0" ref="A6">
      <text>
        <t xml:space="preserve">Identifier Uses:
Tier.Rarity.Level
Mostly used for book-keeping, but can be referenced in formulas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Multiplier for special attacks
</t>
      </text>
    </comment>
    <comment authorId="0" ref="A6">
      <text>
        <t xml:space="preserve">Identifier Uses:
Tier.Rarity.Level
Mostly used for book-keeping, but can be referenced in formulas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Multiplier for special attacks
</t>
      </text>
    </comment>
    <comment authorId="0" ref="A6">
      <text>
        <t xml:space="preserve">Identifier Uses:
Tier.Rarity.Level
Mostly used for book-keeping, but can be referenced in formulas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Multiplier for special attacks
</t>
      </text>
    </comment>
    <comment authorId="0" ref="A6">
      <text>
        <t xml:space="preserve">Identifier Uses:
Tier.Rarity.Level
Mostly used for book-keeping, but can be referenced in formulas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Multiplier for special attacks
</t>
      </text>
    </comment>
    <comment authorId="0" ref="A6">
      <text>
        <t xml:space="preserve">Identifier Uses:
Tier.Rarity.Level
Mostly used for book-keeping, but can be referenced in formulas
</t>
      </text>
    </comment>
  </commentList>
</comments>
</file>

<file path=xl/sharedStrings.xml><?xml version="1.0" encoding="utf-8"?>
<sst xmlns="http://schemas.openxmlformats.org/spreadsheetml/2006/main" count="710" uniqueCount="120">
  <si>
    <t>Notes</t>
  </si>
  <si>
    <t>Primary Bonuses</t>
  </si>
  <si>
    <t>Save a local copy of the sheet to enter in your own values</t>
  </si>
  <si>
    <t>Elemental Bonuses</t>
  </si>
  <si>
    <t>Values should be added for all of the character and weapon stats columns</t>
  </si>
  <si>
    <t>Column 1</t>
  </si>
  <si>
    <t>The weapon identifier is not needed and is mostly used for book keeping (Tier.Rarity.Level)</t>
  </si>
  <si>
    <t>Mag/Dmg</t>
  </si>
  <si>
    <t>Values can also be added for the Game Dmg and Special Dmg columns in order to calculate error</t>
  </si>
  <si>
    <t>Elemental trait bonuses are only applied to secondary damage sources if the source type matches the special attack type on the weapon</t>
  </si>
  <si>
    <t>Stam/Dmg</t>
  </si>
  <si>
    <t>Stamina based damage is used to calculate values for physical attacks</t>
  </si>
  <si>
    <t>Staff</t>
  </si>
  <si>
    <t>Special
Mult</t>
  </si>
  <si>
    <t>Magicka based damage is used to calculate values for elemental attacks, which includes specials and staff damage</t>
  </si>
  <si>
    <t>Pe</t>
  </si>
  <si>
    <t>Bow</t>
  </si>
  <si>
    <t>Sword</t>
  </si>
  <si>
    <t>Tr1</t>
  </si>
  <si>
    <t>Axe</t>
  </si>
  <si>
    <t>Tr2</t>
  </si>
  <si>
    <t>Dagger</t>
  </si>
  <si>
    <t>Py</t>
  </si>
  <si>
    <t>He</t>
  </si>
  <si>
    <t>Base Dmg</t>
  </si>
  <si>
    <t>Vo</t>
  </si>
  <si>
    <t>Dmg / Lvl</t>
  </si>
  <si>
    <t>Character and Weapon Stats</t>
  </si>
  <si>
    <t>Calculated Values</t>
  </si>
  <si>
    <t>Normal Attack</t>
  </si>
  <si>
    <t>Special Attack</t>
  </si>
  <si>
    <t>Staff
Identifier</t>
  </si>
  <si>
    <t>Staff
Type</t>
  </si>
  <si>
    <t>Special
Type</t>
  </si>
  <si>
    <t>Traits</t>
  </si>
  <si>
    <t>Stamina Based Damage</t>
  </si>
  <si>
    <t>Magicka</t>
  </si>
  <si>
    <t>Magicka Based Damage</t>
  </si>
  <si>
    <t>Weapon
Dmg</t>
  </si>
  <si>
    <t>Fire %</t>
  </si>
  <si>
    <t>Bow
Identifier</t>
  </si>
  <si>
    <t>Frost %</t>
  </si>
  <si>
    <t>Shock %</t>
  </si>
  <si>
    <t>Armor
Bonus</t>
  </si>
  <si>
    <t>Base Stam</t>
  </si>
  <si>
    <t>Stamina</t>
  </si>
  <si>
    <t>Dmg
Mult</t>
  </si>
  <si>
    <t>Magicka
Dmg</t>
  </si>
  <si>
    <t>Primary
Dmg</t>
  </si>
  <si>
    <t>Stam / Lvl</t>
  </si>
  <si>
    <t>Fire
Dmg</t>
  </si>
  <si>
    <t>Frost
Dmg</t>
  </si>
  <si>
    <t>Shock
Dmg</t>
  </si>
  <si>
    <t>Total
Dmg</t>
  </si>
  <si>
    <t>Game
Dmg</t>
  </si>
  <si>
    <t>Base Health</t>
  </si>
  <si>
    <t>Mi</t>
  </si>
  <si>
    <t>Error</t>
  </si>
  <si>
    <t>Re</t>
  </si>
  <si>
    <t>Total
Special</t>
  </si>
  <si>
    <t>Game
Special</t>
  </si>
  <si>
    <t>Stamina
Dmg</t>
  </si>
  <si>
    <t>Special
Error</t>
  </si>
  <si>
    <t>Health / Lvl</t>
  </si>
  <si>
    <t>6.4.52</t>
  </si>
  <si>
    <t>Py Tr1</t>
  </si>
  <si>
    <t>Magicka
Fire</t>
  </si>
  <si>
    <t>Magicka
Frost</t>
  </si>
  <si>
    <t>Magicka
Shock</t>
  </si>
  <si>
    <t>Robe</t>
  </si>
  <si>
    <t>Mail</t>
  </si>
  <si>
    <t>Plate</t>
  </si>
  <si>
    <t>2x
Special</t>
  </si>
  <si>
    <t>Sheild</t>
  </si>
  <si>
    <t>Base Armor</t>
  </si>
  <si>
    <t>6.4.15</t>
  </si>
  <si>
    <t>Armor / Lvl</t>
  </si>
  <si>
    <t>Base Life</t>
  </si>
  <si>
    <t>Life / Lvl</t>
  </si>
  <si>
    <t>6.4.25</t>
  </si>
  <si>
    <t>Rarity</t>
  </si>
  <si>
    <t>Identifier</t>
  </si>
  <si>
    <t>Bonus Lvls</t>
  </si>
  <si>
    <t>Uncommon</t>
  </si>
  <si>
    <t>Rare</t>
  </si>
  <si>
    <t>Epic</t>
  </si>
  <si>
    <t>Legendary</t>
  </si>
  <si>
    <t>E.g., a level 1 legendary has the same damage, stamina, and health stats as a level 5 uncommon</t>
  </si>
  <si>
    <t>1 Source</t>
  </si>
  <si>
    <t>3 Sources</t>
  </si>
  <si>
    <t>?</t>
  </si>
  <si>
    <t>Py Tr2</t>
  </si>
  <si>
    <t>Sword
Identifier</t>
  </si>
  <si>
    <t>6.3.7</t>
  </si>
  <si>
    <t>6.4.21</t>
  </si>
  <si>
    <t>6.4.10</t>
  </si>
  <si>
    <t>6.4.49</t>
  </si>
  <si>
    <t>Pe Tr1</t>
  </si>
  <si>
    <t>6.4.2</t>
  </si>
  <si>
    <t>6.4.23</t>
  </si>
  <si>
    <t>He Re</t>
  </si>
  <si>
    <t>Re He</t>
  </si>
  <si>
    <t>6.3.10</t>
  </si>
  <si>
    <t>Mi Re</t>
  </si>
  <si>
    <t>Re Tr2</t>
  </si>
  <si>
    <t>6.4.1</t>
  </si>
  <si>
    <t>Pe Tr2 Py</t>
  </si>
  <si>
    <t>Mi Re Tr2 He</t>
  </si>
  <si>
    <t>6.1.1</t>
  </si>
  <si>
    <t>6.2.1</t>
  </si>
  <si>
    <t>Py Pe Tr2</t>
  </si>
  <si>
    <t>6.4.100</t>
  </si>
  <si>
    <t>De</t>
  </si>
  <si>
    <t>* Daggers should use the same secondary percentage as other weapons, even though their displayed values appear to be halved compared to other weapons</t>
  </si>
  <si>
    <t>Dagger
Identifier</t>
  </si>
  <si>
    <t>6.2.4</t>
  </si>
  <si>
    <t>6.4.20</t>
  </si>
  <si>
    <t>De Re Tr2</t>
  </si>
  <si>
    <t>6.3.104</t>
  </si>
  <si>
    <t>De Mi Re Tr2 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</si>
</sst>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5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9.0"/>
      <color theme="1"/>
      <name val="Arial"/>
      <scheme val="minor"/>
    </font>
    <font>
      <sz val="8.0"/>
      <color theme="1"/>
      <name val="Arial"/>
      <scheme val="minor"/>
    </font>
    <font>
      <b/>
      <sz val="12.0"/>
      <color theme="1"/>
      <name val="Arial"/>
    </font>
    <font>
      <color rgb="FF434343"/>
      <name val="Roboto"/>
    </font>
    <font>
      <sz val="10.0"/>
      <color rgb="FF434343"/>
      <name val="Roboto"/>
    </font>
    <font>
      <sz val="10.0"/>
      <color theme="1"/>
      <name val="Roboto"/>
    </font>
    <font>
      <i/>
      <color rgb="FF666666"/>
      <name val="Arial"/>
    </font>
    <font>
      <color rgb="FF999999"/>
      <name val="Roboto"/>
    </font>
    <font>
      <sz val="8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50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FFFFF"/>
      </left>
      <right style="thin">
        <color rgb="FF000000"/>
      </right>
    </border>
    <border>
      <left style="thin">
        <color rgb="FFFFFFF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284E3F"/>
      </left>
      <right style="thin">
        <color rgb="FFF6F8F9"/>
      </right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FFFFF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000000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5" numFmtId="164" xfId="0" applyFont="1" applyNumberFormat="1"/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horizontal="left" readingOrder="0" shrinkToFit="0" vertical="center" wrapText="0"/>
    </xf>
    <xf borderId="2" fillId="0" fontId="6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2" fillId="0" fontId="5" numFmtId="0" xfId="0" applyAlignment="1" applyBorder="1" applyFont="1">
      <alignment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6" numFmtId="49" xfId="0" applyAlignment="1" applyFont="1" applyNumberFormat="1">
      <alignment horizontal="left" readingOrder="0" shrinkToFit="0" vertical="center" wrapText="0"/>
    </xf>
    <xf borderId="0" fillId="0" fontId="6" numFmtId="164" xfId="0" applyAlignment="1" applyFont="1" applyNumberFormat="1">
      <alignment horizontal="left" readingOrder="0" shrinkToFit="0" vertical="center" wrapText="0"/>
    </xf>
    <xf borderId="3" fillId="0" fontId="6" numFmtId="164" xfId="0" applyAlignment="1" applyBorder="1" applyFont="1" applyNumberFormat="1">
      <alignment horizontal="left" readingOrder="0" shrinkToFit="0" vertical="center" wrapText="0"/>
    </xf>
    <xf borderId="2" fillId="0" fontId="6" numFmtId="49" xfId="0" applyAlignment="1" applyBorder="1" applyFont="1" applyNumberFormat="1">
      <alignment horizontal="left" readingOrder="0" shrinkToFit="0" vertical="center" wrapText="0"/>
    </xf>
    <xf borderId="3" fillId="0" fontId="6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4" fillId="2" fontId="9" numFmtId="1" xfId="0" applyAlignment="1" applyBorder="1" applyFill="1" applyFont="1" applyNumberFormat="1">
      <alignment horizontal="right" readingOrder="0" shrinkToFit="0" vertical="center" wrapText="0"/>
    </xf>
    <xf borderId="4" fillId="2" fontId="9" numFmtId="0" xfId="0" applyAlignment="1" applyBorder="1" applyFill="1" applyFont="1">
      <alignment horizontal="right"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3" fillId="0" fontId="2" numFmtId="2" xfId="0" applyAlignment="1" applyBorder="1" applyFont="1" applyNumberFormat="1">
      <alignment readingOrder="0" shrinkToFit="0" vertical="center" wrapText="0"/>
    </xf>
    <xf borderId="5" fillId="3" fontId="10" numFmtId="0" xfId="0" applyAlignment="1" applyBorder="1" applyFill="1" applyFont="1">
      <alignment readingOrder="0" shrinkToFit="0" vertical="center" wrapText="0"/>
    </xf>
    <xf borderId="6" fillId="3" fontId="10" numFmtId="0" xfId="0" applyAlignment="1" applyBorder="1" applyFill="1" applyFont="1">
      <alignment shrinkToFit="0" vertical="center" wrapText="0"/>
    </xf>
    <xf borderId="6" fillId="3" fontId="10" numFmtId="0" xfId="0" applyAlignment="1" applyBorder="1" applyFill="1" applyFont="1">
      <alignment readingOrder="0" shrinkToFit="0" vertical="center" wrapText="0"/>
    </xf>
    <xf borderId="6" fillId="3" fontId="10" numFmtId="1" xfId="0" applyAlignment="1" applyBorder="1" applyFill="1" applyFont="1" applyNumberFormat="1">
      <alignment horizontal="right" readingOrder="0" shrinkToFit="0" vertical="center" wrapText="0"/>
    </xf>
    <xf borderId="0" fillId="0" fontId="11" numFmtId="1" xfId="0" applyAlignment="1" applyFont="1" applyNumberFormat="1">
      <alignment readingOrder="0" shrinkToFit="0" vertical="center" wrapText="0"/>
    </xf>
    <xf borderId="6" fillId="3" fontId="10" numFmtId="0" xfId="0" applyAlignment="1" applyBorder="1" applyFill="1" applyFont="1">
      <alignment horizontal="right" readingOrder="0" shrinkToFit="0" vertical="center" wrapText="0"/>
    </xf>
    <xf borderId="6" fillId="3" fontId="11" numFmtId="9" xfId="0" applyAlignment="1" applyBorder="1" applyFill="1" applyFont="1" applyNumberFormat="1">
      <alignment horizontal="right" readingOrder="0" shrinkToFit="0" vertical="center" wrapText="0"/>
    </xf>
    <xf borderId="7" fillId="3" fontId="11" numFmtId="2" xfId="0" applyAlignment="1" applyBorder="1" applyFill="1" applyFont="1" applyNumberFormat="1">
      <alignment horizontal="right" readingOrder="0" shrinkToFit="0" vertical="center" wrapText="0"/>
    </xf>
    <xf borderId="2" fillId="0" fontId="2" numFmtId="2" xfId="0" applyAlignment="1" applyBorder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2" fillId="0" fontId="11" numFmtId="2" xfId="0" applyAlignment="1" applyBorder="1" applyFont="1" applyNumberFormat="1">
      <alignment shrinkToFit="0" vertical="center" wrapText="0"/>
    </xf>
    <xf borderId="0" fillId="0" fontId="11" numFmtId="165" xfId="0" applyAlignment="1" applyFont="1" applyNumberFormat="1">
      <alignment shrinkToFit="0" vertical="center" wrapText="0"/>
    </xf>
    <xf borderId="5" fillId="3" fontId="9" numFmtId="0" xfId="0" applyAlignment="1" applyBorder="1" applyFill="1" applyFont="1">
      <alignment readingOrder="0" shrinkToFit="0" vertical="center" wrapText="0"/>
    </xf>
    <xf borderId="0" fillId="0" fontId="4" numFmtId="0" xfId="0" applyAlignment="1" applyFont="1">
      <alignment readingOrder="0" vertical="bottom"/>
    </xf>
    <xf borderId="2" fillId="0" fontId="11" numFmtId="165" xfId="0" applyAlignment="1" applyBorder="1" applyFont="1" applyNumberFormat="1">
      <alignment shrinkToFit="0" vertical="center" wrapText="0"/>
    </xf>
    <xf borderId="6" fillId="3" fontId="9" numFmtId="0" xfId="0" applyAlignment="1" applyBorder="1" applyFill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49" xfId="0" applyAlignment="1" applyFont="1" applyNumberFormat="1">
      <alignment horizontal="left" readingOrder="0" shrinkToFit="0" vertical="bottom" wrapText="0"/>
    </xf>
    <xf borderId="6" fillId="3" fontId="9" numFmtId="1" xfId="0" applyAlignment="1" applyBorder="1" applyFill="1" applyFont="1" applyNumberFormat="1">
      <alignment horizontal="right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2" numFmtId="1" xfId="0" applyAlignment="1" applyFont="1" applyNumberFormat="1">
      <alignment readingOrder="0" shrinkToFit="0" vertical="center" wrapText="0"/>
    </xf>
    <xf borderId="6" fillId="3" fontId="9" numFmtId="0" xfId="0" applyAlignment="1" applyBorder="1" applyFill="1" applyFont="1">
      <alignment horizontal="right" readingOrder="0" shrinkToFit="0" vertical="center" wrapText="0"/>
    </xf>
    <xf borderId="6" fillId="3" fontId="2" numFmtId="9" xfId="0" applyAlignment="1" applyBorder="1" applyFill="1" applyFont="1" applyNumberFormat="1">
      <alignment horizontal="right" readingOrder="0" shrinkToFit="0" vertical="center" wrapText="0"/>
    </xf>
    <xf borderId="7" fillId="3" fontId="2" numFmtId="2" xfId="0" applyAlignment="1" applyBorder="1" applyFill="1" applyFont="1" applyNumberFormat="1">
      <alignment horizontal="right" readingOrder="0" shrinkToFit="0" vertical="center" wrapText="0"/>
    </xf>
    <xf borderId="0" fillId="0" fontId="1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9" xfId="0" applyAlignment="1" applyFont="1" applyNumberFormat="1">
      <alignment readingOrder="0" shrinkToFit="0" vertical="bottom" wrapText="0"/>
    </xf>
    <xf borderId="0" fillId="0" fontId="4" numFmtId="9" xfId="0" applyAlignment="1" applyFont="1" applyNumberFormat="1">
      <alignment horizontal="right" readingOrder="0" shrinkToFit="0" vertical="bottom" wrapText="0"/>
    </xf>
    <xf borderId="3" fillId="0" fontId="2" numFmtId="165" xfId="0" applyAlignment="1" applyBorder="1" applyFont="1" applyNumberFormat="1">
      <alignment shrinkToFit="0" vertical="center" wrapText="0"/>
    </xf>
    <xf borderId="2" fillId="0" fontId="2" numFmtId="1" xfId="0" applyAlignment="1" applyBorder="1" applyFont="1" applyNumberFormat="1">
      <alignment shrinkToFit="0" vertical="center" wrapText="0"/>
    </xf>
    <xf borderId="0" fillId="0" fontId="2" numFmtId="1" xfId="0" applyAlignment="1" applyFont="1" applyNumberFormat="1">
      <alignment readingOrder="0" shrinkToFit="0" vertical="center" wrapText="0"/>
    </xf>
    <xf borderId="2" fillId="0" fontId="11" numFmtId="1" xfId="0" applyAlignment="1" applyBorder="1" applyFont="1" applyNumberFormat="1">
      <alignment shrinkToFit="0" vertical="center" wrapText="0"/>
    </xf>
    <xf borderId="6" fillId="3" fontId="10" numFmtId="1" xfId="0" applyAlignment="1" applyBorder="1" applyFill="1" applyFont="1" applyNumberFormat="1">
      <alignment horizontal="right" readingOrder="0" shrinkToFit="0" vertical="center" wrapText="0"/>
    </xf>
    <xf borderId="2" fillId="0" fontId="2" numFmtId="165" xfId="0" applyAlignment="1" applyBorder="1" applyFont="1" applyNumberFormat="1">
      <alignment shrinkToFit="0" vertical="center" wrapText="0"/>
    </xf>
    <xf borderId="3" fillId="0" fontId="2" numFmtId="10" xfId="0" applyAlignment="1" applyBorder="1" applyFont="1" applyNumberFormat="1">
      <alignment shrinkToFit="0" vertical="center" wrapText="0"/>
    </xf>
    <xf borderId="3" fillId="0" fontId="11" numFmtId="10" xfId="0" applyAlignment="1" applyBorder="1" applyFont="1" applyNumberFormat="1">
      <alignment shrinkToFit="0" vertical="center" wrapText="0"/>
    </xf>
    <xf borderId="2" fillId="0" fontId="2" numFmtId="1" xfId="0" applyAlignment="1" applyBorder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2" fillId="0" fontId="11" numFmtId="1" xfId="0" applyAlignment="1" applyBorder="1" applyFont="1" applyNumberFormat="1">
      <alignment shrinkToFit="0" vertical="center" wrapText="0"/>
    </xf>
    <xf borderId="0" fillId="0" fontId="11" numFmtId="10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4" fillId="2" fontId="10" numFmtId="0" xfId="0" applyAlignment="1" applyBorder="1" applyFill="1" applyFont="1">
      <alignment readingOrder="0" shrinkToFit="0" vertical="center" wrapText="0"/>
    </xf>
    <xf borderId="4" fillId="2" fontId="10" numFmtId="1" xfId="0" applyAlignment="1" applyBorder="1" applyFill="1" applyFont="1" applyNumberFormat="1">
      <alignment horizontal="right" readingOrder="0" shrinkToFit="0" vertical="center" wrapText="0"/>
    </xf>
    <xf borderId="8" fillId="2" fontId="11" numFmtId="2" xfId="0" applyAlignment="1" applyBorder="1" applyFill="1" applyFont="1" applyNumberFormat="1">
      <alignment horizontal="right" readingOrder="0" shrinkToFit="0" vertical="center" wrapText="0"/>
    </xf>
    <xf borderId="6" fillId="3" fontId="9" numFmtId="1" xfId="0" applyAlignment="1" applyBorder="1" applyFill="1" applyFont="1" applyNumberFormat="1">
      <alignment horizontal="right" readingOrder="0" shrinkToFit="0" vertical="center" wrapText="0"/>
    </xf>
    <xf borderId="9" fillId="2" fontId="9" numFmtId="0" xfId="0" applyAlignment="1" applyBorder="1" applyFill="1" applyFont="1">
      <alignment readingOrder="0" shrinkToFit="0" vertical="center" wrapText="0"/>
    </xf>
    <xf borderId="4" fillId="2" fontId="9" numFmtId="0" xfId="0" applyAlignment="1" applyBorder="1" applyFill="1" applyFont="1">
      <alignment readingOrder="0" shrinkToFit="0" vertical="center" wrapText="0"/>
    </xf>
    <xf borderId="4" fillId="2" fontId="4" numFmtId="0" xfId="0" applyAlignment="1" applyBorder="1" applyFill="1" applyFont="1">
      <alignment readingOrder="0" shrinkToFit="0" vertical="center" wrapText="0"/>
    </xf>
    <xf borderId="4" fillId="2" fontId="9" numFmtId="1" xfId="0" applyAlignment="1" applyBorder="1" applyFill="1" applyFont="1" applyNumberFormat="1">
      <alignment horizontal="right" readingOrder="0" shrinkToFit="0" vertical="center" wrapText="0"/>
    </xf>
    <xf borderId="10" fillId="3" fontId="9" numFmtId="0" xfId="0" applyAlignment="1" applyBorder="1" applyFill="1" applyFont="1">
      <alignment readingOrder="0" shrinkToFit="0" vertical="center" wrapText="0"/>
    </xf>
    <xf borderId="0" fillId="3" fontId="9" numFmtId="0" xfId="0" applyAlignment="1" applyFill="1" applyFont="1">
      <alignment readingOrder="0" shrinkToFit="0" vertical="center" wrapText="0"/>
    </xf>
    <xf borderId="4" fillId="2" fontId="10" numFmtId="1" xfId="0" applyAlignment="1" applyBorder="1" applyFill="1" applyFont="1" applyNumberFormat="1">
      <alignment horizontal="right" readingOrder="0" shrinkToFit="0" vertical="center" wrapText="0"/>
    </xf>
    <xf borderId="0" fillId="3" fontId="9" numFmtId="1" xfId="0" applyAlignment="1" applyFill="1" applyFont="1" applyNumberFormat="1">
      <alignment horizontal="right" readingOrder="0" shrinkToFit="0" vertical="center" wrapText="0"/>
    </xf>
    <xf borderId="0" fillId="3" fontId="9" numFmtId="0" xfId="0" applyAlignment="1" applyFill="1" applyFont="1">
      <alignment horizontal="right" readingOrder="0" shrinkToFit="0" vertical="center" wrapText="0"/>
    </xf>
    <xf borderId="0" fillId="0" fontId="2" numFmtId="9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11" numFmtId="2" xfId="0" applyAlignment="1" applyFont="1" applyNumberFormat="1">
      <alignment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11" numFmtId="1" xfId="0" applyAlignment="1" applyFont="1" applyNumberFormat="1">
      <alignment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8" fillId="2" fontId="2" numFmtId="2" xfId="0" applyAlignment="1" applyBorder="1" applyFill="1" applyFont="1" applyNumberForma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2" fontId="10" numFmtId="1" xfId="0" applyAlignment="1" applyFill="1" applyFont="1" applyNumberFormat="1">
      <alignment horizontal="right" readingOrder="0" shrinkToFit="0" vertical="center" wrapText="0"/>
    </xf>
    <xf borderId="5" fillId="3" fontId="9" numFmtId="0" xfId="0" applyAlignment="1" applyBorder="1" applyFill="1" applyFont="1">
      <alignment shrinkToFit="0" vertical="center" wrapText="0"/>
    </xf>
    <xf borderId="6" fillId="3" fontId="9" numFmtId="0" xfId="0" applyAlignment="1" applyBorder="1" applyFill="1" applyFont="1">
      <alignment shrinkToFit="0" vertical="center" wrapText="0"/>
    </xf>
    <xf borderId="6" fillId="3" fontId="9" numFmtId="0" xfId="0" applyAlignment="1" applyBorder="1" applyFill="1" applyFont="1">
      <alignment shrinkToFit="0" vertical="center" wrapText="0"/>
    </xf>
    <xf borderId="6" fillId="3" fontId="9" numFmtId="1" xfId="0" applyAlignment="1" applyBorder="1" applyFill="1" applyFont="1" applyNumberFormat="1">
      <alignment horizontal="right" shrinkToFit="0" vertical="center" wrapText="0"/>
    </xf>
    <xf borderId="6" fillId="3" fontId="9" numFmtId="0" xfId="0" applyAlignment="1" applyBorder="1" applyFill="1" applyFont="1">
      <alignment horizontal="right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2" fontId="9" numFmtId="1" xfId="0" applyAlignment="1" applyFill="1" applyFont="1" applyNumberFormat="1">
      <alignment horizontal="right" readingOrder="0" shrinkToFit="0" vertical="center" wrapText="0"/>
    </xf>
    <xf borderId="9" fillId="2" fontId="9" numFmtId="0" xfId="0" applyAlignment="1" applyBorder="1" applyFill="1" applyFont="1">
      <alignment shrinkToFit="0" vertical="center" wrapText="0"/>
    </xf>
    <xf borderId="4" fillId="2" fontId="9" numFmtId="0" xfId="0" applyAlignment="1" applyBorder="1" applyFill="1" applyFont="1">
      <alignment shrinkToFit="0" vertical="center" wrapText="0"/>
    </xf>
    <xf borderId="4" fillId="2" fontId="9" numFmtId="0" xfId="0" applyAlignment="1" applyBorder="1" applyFill="1" applyFont="1">
      <alignment shrinkToFit="0" vertical="center" wrapText="0"/>
    </xf>
    <xf borderId="4" fillId="2" fontId="9" numFmtId="1" xfId="0" applyAlignment="1" applyBorder="1" applyFill="1" applyFont="1" applyNumberFormat="1">
      <alignment horizontal="right" shrinkToFit="0" vertical="center" wrapText="0"/>
    </xf>
    <xf borderId="4" fillId="2" fontId="9" numFmtId="0" xfId="0" applyAlignment="1" applyBorder="1" applyFill="1" applyFont="1">
      <alignment horizontal="right" shrinkToFit="0" vertical="center" wrapText="0"/>
    </xf>
    <xf borderId="4" fillId="2" fontId="10" numFmtId="0" xfId="0" applyAlignment="1" applyBorder="1" applyFill="1" applyFont="1">
      <alignment horizontal="right" readingOrder="0" shrinkToFit="0" vertical="center" wrapText="0"/>
    </xf>
    <xf borderId="4" fillId="2" fontId="11" numFmtId="9" xfId="0" applyAlignment="1" applyBorder="1" applyFill="1" applyFont="1" applyNumberFormat="1">
      <alignment horizontal="right" readingOrder="0" shrinkToFit="0" vertical="center" wrapText="0"/>
    </xf>
    <xf borderId="4" fillId="2" fontId="13" numFmtId="2" xfId="0" applyAlignment="1" applyBorder="1" applyFill="1" applyFont="1" applyNumberFormat="1">
      <alignment horizontal="right" shrinkToFit="0" vertical="center" wrapText="0"/>
    </xf>
    <xf borderId="11" fillId="2" fontId="9" numFmtId="0" xfId="0" applyAlignment="1" applyBorder="1" applyFill="1" applyFont="1">
      <alignment readingOrder="0" shrinkToFit="0" vertical="center" wrapText="0"/>
    </xf>
    <xf borderId="12" fillId="2" fontId="9" numFmtId="0" xfId="0" applyAlignment="1" applyBorder="1" applyFill="1" applyFont="1">
      <alignment readingOrder="0" shrinkToFit="0" vertical="center" wrapText="0"/>
    </xf>
    <xf borderId="9" fillId="3" fontId="9" numFmtId="0" xfId="0" applyAlignment="1" applyBorder="1" applyFill="1" applyFont="1">
      <alignment shrinkToFit="0" vertical="center" wrapText="0"/>
    </xf>
    <xf borderId="12" fillId="2" fontId="4" numFmtId="0" xfId="0" applyAlignment="1" applyBorder="1" applyFill="1" applyFont="1">
      <alignment readingOrder="0" shrinkToFit="0" vertical="center" wrapText="0"/>
    </xf>
    <xf borderId="13" fillId="3" fontId="9" numFmtId="1" xfId="0" applyAlignment="1" applyBorder="1" applyFill="1" applyFont="1" applyNumberFormat="1">
      <alignment horizontal="right" readingOrder="0" shrinkToFit="0" vertical="center" wrapText="0"/>
    </xf>
    <xf borderId="4" fillId="3" fontId="9" numFmtId="0" xfId="0" applyAlignment="1" applyBorder="1" applyFill="1" applyFont="1">
      <alignment horizontal="right" shrinkToFit="0" vertical="center" wrapText="0"/>
    </xf>
    <xf borderId="13" fillId="3" fontId="9" numFmtId="0" xfId="0" applyAlignment="1" applyBorder="1" applyFill="1" applyFont="1">
      <alignment horizontal="right" readingOrder="0" shrinkToFit="0" vertical="center" wrapText="0"/>
    </xf>
    <xf borderId="13" fillId="3" fontId="2" numFmtId="9" xfId="0" applyAlignment="1" applyBorder="1" applyFill="1" applyFont="1" applyNumberFormat="1">
      <alignment horizontal="right" readingOrder="0" shrinkToFit="0" vertical="center" wrapText="0"/>
    </xf>
    <xf borderId="6" fillId="3" fontId="13" numFmtId="2" xfId="0" applyAlignment="1" applyBorder="1" applyFill="1" applyFont="1" applyNumberFormat="1">
      <alignment horizontal="right" shrinkToFit="0" vertical="center" wrapText="0"/>
    </xf>
    <xf borderId="14" fillId="3" fontId="2" numFmtId="2" xfId="0" applyAlignment="1" applyBorder="1" applyFill="1" applyFont="1" applyNumberFormat="1">
      <alignment horizontal="right" readingOrder="0" shrinkToFit="0" vertical="center" wrapText="0"/>
    </xf>
    <xf borderId="15" fillId="3" fontId="10" numFmtId="0" xfId="0" applyAlignment="1" applyBorder="1" applyFill="1" applyFont="1">
      <alignment readingOrder="0" shrinkToFit="0" vertical="center" wrapText="0"/>
    </xf>
    <xf borderId="16" fillId="3" fontId="10" numFmtId="0" xfId="0" applyAlignment="1" applyBorder="1" applyFill="1" applyFont="1">
      <alignment shrinkToFit="0" vertical="center" wrapText="0"/>
    </xf>
    <xf borderId="16" fillId="3" fontId="10" numFmtId="0" xfId="0" applyAlignment="1" applyBorder="1" applyFill="1" applyFont="1">
      <alignment readingOrder="0" shrinkToFit="0" vertical="center" wrapText="0"/>
    </xf>
    <xf borderId="16" fillId="3" fontId="10" numFmtId="1" xfId="0" applyAlignment="1" applyBorder="1" applyFill="1" applyFont="1" applyNumberFormat="1">
      <alignment horizontal="right" readingOrder="0" shrinkToFit="0" vertical="center" wrapText="0"/>
    </xf>
    <xf borderId="1" fillId="0" fontId="11" numFmtId="1" xfId="0" applyAlignment="1" applyBorder="1" applyFont="1" applyNumberFormat="1">
      <alignment readingOrder="0" shrinkToFit="0" vertical="center" wrapText="0"/>
    </xf>
    <xf borderId="16" fillId="3" fontId="10" numFmtId="0" xfId="0" applyAlignment="1" applyBorder="1" applyFill="1" applyFont="1">
      <alignment horizontal="right" readingOrder="0" shrinkToFit="0" vertical="center" wrapText="0"/>
    </xf>
    <xf borderId="16" fillId="3" fontId="11" numFmtId="9" xfId="0" applyAlignment="1" applyBorder="1" applyFill="1" applyFont="1" applyNumberFormat="1">
      <alignment horizontal="right" readingOrder="0" shrinkToFit="0" vertical="center" wrapText="0"/>
    </xf>
    <xf borderId="17" fillId="3" fontId="11" numFmtId="2" xfId="0" applyAlignment="1" applyBorder="1" applyFill="1" applyFont="1" applyNumberFormat="1">
      <alignment horizontal="right" readingOrder="0" shrinkToFit="0" vertical="center" wrapText="0"/>
    </xf>
    <xf borderId="18" fillId="0" fontId="11" numFmtId="2" xfId="0" applyAlignment="1" applyBorder="1" applyFont="1" applyNumberFormat="1">
      <alignment shrinkToFit="0" vertical="center" wrapText="0"/>
    </xf>
    <xf borderId="1" fillId="0" fontId="11" numFmtId="165" xfId="0" applyAlignment="1" applyBorder="1" applyFont="1" applyNumberFormat="1">
      <alignment shrinkToFit="0" vertical="center" wrapText="0"/>
    </xf>
    <xf borderId="18" fillId="0" fontId="11" numFmtId="165" xfId="0" applyAlignment="1" applyBorder="1" applyFont="1" applyNumberFormat="1">
      <alignment shrinkToFit="0" vertical="center" wrapText="0"/>
    </xf>
    <xf borderId="12" fillId="2" fontId="9" numFmtId="1" xfId="0" applyAlignment="1" applyBorder="1" applyFill="1" applyFont="1" applyNumberFormat="1">
      <alignment horizontal="right" readingOrder="0" shrinkToFit="0" vertical="center" wrapText="0"/>
    </xf>
    <xf borderId="4" fillId="2" fontId="9" numFmtId="2" xfId="0" applyAlignment="1" applyBorder="1" applyFill="1" applyFont="1" applyNumberFormat="1">
      <alignment horizontal="right" shrinkToFit="0" vertical="center" wrapText="0"/>
    </xf>
    <xf borderId="0" fillId="3" fontId="9" numFmtId="1" xfId="0" applyAlignment="1" applyFill="1" applyFont="1" applyNumberFormat="1">
      <alignment horizontal="right" readingOrder="0" shrinkToFit="0" vertical="center" wrapText="0"/>
    </xf>
    <xf borderId="0" fillId="3" fontId="2" numFmtId="9" xfId="0" applyAlignment="1" applyFill="1" applyFont="1" applyNumberFormat="1">
      <alignment horizontal="right" readingOrder="0" shrinkToFit="0" vertical="center" wrapText="0"/>
    </xf>
    <xf borderId="3" fillId="3" fontId="2" numFmtId="2" xfId="0" applyAlignment="1" applyBorder="1" applyFill="1" applyFont="1" applyNumberFormat="1">
      <alignment horizontal="right" readingOrder="0" shrinkToFit="0" vertical="center" wrapText="0"/>
    </xf>
    <xf borderId="18" fillId="0" fontId="11" numFmtId="1" xfId="0" applyAlignment="1" applyBorder="1" applyFont="1" applyNumberFormat="1">
      <alignment shrinkToFit="0" vertical="center" wrapText="0"/>
    </xf>
    <xf borderId="19" fillId="0" fontId="11" numFmtId="10" xfId="0" applyAlignment="1" applyBorder="1" applyFont="1" applyNumberFormat="1">
      <alignment shrinkToFit="0" vertical="center" wrapText="0"/>
    </xf>
    <xf borderId="18" fillId="0" fontId="11" numFmtId="1" xfId="0" applyAlignment="1" applyBorder="1" applyFont="1" applyNumberFormat="1">
      <alignment shrinkToFit="0" vertical="center" wrapText="0"/>
    </xf>
    <xf borderId="15" fillId="3" fontId="9" numFmtId="0" xfId="0" applyAlignment="1" applyBorder="1" applyFill="1" applyFont="1">
      <alignment readingOrder="0" shrinkToFit="0" vertical="center" wrapText="0"/>
    </xf>
    <xf borderId="1" fillId="0" fontId="11" numFmtId="10" xfId="0" applyAlignment="1" applyBorder="1" applyFont="1" applyNumberFormat="1">
      <alignment shrinkToFit="0" vertical="center" wrapText="0"/>
    </xf>
    <xf borderId="16" fillId="3" fontId="9" numFmtId="0" xfId="0" applyAlignment="1" applyBorder="1" applyFill="1" applyFont="1">
      <alignment readingOrder="0" shrinkToFit="0" vertical="center" wrapText="0"/>
    </xf>
    <xf borderId="20" fillId="3" fontId="10" numFmtId="0" xfId="0" applyAlignment="1" applyBorder="1" applyFill="1" applyFont="1">
      <alignment readingOrder="0" shrinkToFit="0" vertical="center" wrapText="0"/>
    </xf>
    <xf borderId="21" fillId="3" fontId="10" numFmtId="0" xfId="0" applyAlignment="1" applyBorder="1" applyFill="1" applyFont="1">
      <alignment shrinkToFit="0" vertical="center" wrapText="0"/>
    </xf>
    <xf borderId="16" fillId="3" fontId="9" numFmtId="1" xfId="0" applyAlignment="1" applyBorder="1" applyFill="1" applyFont="1" applyNumberFormat="1">
      <alignment horizontal="right" readingOrder="0" shrinkToFit="0" vertical="center" wrapText="0"/>
    </xf>
    <xf borderId="1" fillId="0" fontId="2" numFmtId="1" xfId="0" applyAlignment="1" applyBorder="1" applyFont="1" applyNumberFormat="1">
      <alignment readingOrder="0" shrinkToFit="0" vertical="center" wrapText="0"/>
    </xf>
    <xf borderId="16" fillId="3" fontId="9" numFmtId="0" xfId="0" applyAlignment="1" applyBorder="1" applyFill="1" applyFont="1">
      <alignment horizontal="right" readingOrder="0" shrinkToFit="0" vertical="center" wrapText="0"/>
    </xf>
    <xf borderId="16" fillId="3" fontId="2" numFmtId="9" xfId="0" applyAlignment="1" applyBorder="1" applyFill="1" applyFont="1" applyNumberFormat="1">
      <alignment horizontal="right" readingOrder="0" shrinkToFit="0" vertical="center" wrapText="0"/>
    </xf>
    <xf borderId="17" fillId="3" fontId="2" numFmtId="2" xfId="0" applyAlignment="1" applyBorder="1" applyFill="1" applyFont="1" applyNumberFormat="1">
      <alignment horizontal="right" readingOrder="0" shrinkToFit="0" vertical="center" wrapText="0"/>
    </xf>
    <xf borderId="22" fillId="3" fontId="10" numFmtId="1" xfId="0" applyAlignment="1" applyBorder="1" applyFill="1" applyFont="1" applyNumberFormat="1">
      <alignment horizontal="right" shrinkToFit="0" vertical="center" wrapText="0"/>
    </xf>
    <xf borderId="0" fillId="3" fontId="10" numFmtId="1" xfId="0" applyAlignment="1" applyFill="1" applyFont="1" applyNumberFormat="1">
      <alignment horizontal="right" shrinkToFit="0" vertical="center" wrapText="0"/>
    </xf>
    <xf borderId="22" fillId="3" fontId="10" numFmtId="1" xfId="0" applyAlignment="1" applyBorder="1" applyFill="1" applyFont="1" applyNumberFormat="1">
      <alignment horizontal="right" shrinkToFit="0" vertical="center" wrapText="0"/>
    </xf>
    <xf borderId="18" fillId="0" fontId="2" numFmtId="2" xfId="0" applyAlignment="1" applyBorder="1" applyFont="1" applyNumberFormat="1">
      <alignment shrinkToFit="0" vertical="center" wrapText="0"/>
    </xf>
    <xf borderId="21" fillId="3" fontId="11" numFmtId="9" xfId="0" applyAlignment="1" applyBorder="1" applyFill="1" applyFont="1" applyNumberFormat="1">
      <alignment horizontal="right" readingOrder="0"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23" fillId="3" fontId="11" numFmtId="2" xfId="0" applyAlignment="1" applyBorder="1" applyFill="1" applyFont="1" applyNumberFormat="1">
      <alignment horizontal="right" shrinkToFit="0" vertical="center" wrapText="0"/>
    </xf>
    <xf borderId="18" fillId="0" fontId="2" numFmtId="165" xfId="0" applyAlignment="1" applyBorder="1" applyFont="1" applyNumberFormat="1">
      <alignment shrinkToFit="0" vertical="center" wrapText="0"/>
    </xf>
    <xf borderId="6" fillId="3" fontId="9" numFmtId="2" xfId="0" applyAlignment="1" applyBorder="1" applyFill="1" applyFont="1" applyNumberFormat="1">
      <alignment horizontal="right" shrinkToFit="0" vertical="center" wrapText="0"/>
    </xf>
    <xf borderId="18" fillId="0" fontId="2" numFmtId="1" xfId="0" applyAlignment="1" applyBorder="1" applyFont="1" applyNumberFormat="1">
      <alignment shrinkToFit="0" vertical="center" wrapText="0"/>
    </xf>
    <xf borderId="19" fillId="0" fontId="2" numFmtId="10" xfId="0" applyAlignment="1" applyBorder="1" applyFont="1" applyNumberFormat="1">
      <alignment shrinkToFit="0" vertical="center" wrapText="0"/>
    </xf>
    <xf borderId="0" fillId="0" fontId="11" numFmtId="1" xfId="0" applyAlignment="1" applyFont="1" applyNumberFormat="1">
      <alignment readingOrder="0" shrinkToFit="0" vertical="center" wrapText="0"/>
    </xf>
    <xf borderId="18" fillId="0" fontId="2" numFmtId="1" xfId="0" applyAlignment="1" applyBorder="1" applyFont="1" applyNumberFormat="1">
      <alignment shrinkToFit="0" vertical="center" wrapText="0"/>
    </xf>
    <xf borderId="1" fillId="0" fontId="2" numFmtId="10" xfId="0" applyAlignment="1" applyBorder="1" applyFont="1" applyNumberFormat="1">
      <alignment shrinkToFit="0" vertical="center" wrapText="0"/>
    </xf>
    <xf borderId="10" fillId="2" fontId="9" numFmtId="0" xfId="0" applyAlignment="1" applyBorder="1" applyFill="1" applyFont="1">
      <alignment readingOrder="0" shrinkToFit="0" vertical="center" wrapText="0"/>
    </xf>
    <xf borderId="24" fillId="2" fontId="9" numFmtId="0" xfId="0" applyAlignment="1" applyBorder="1" applyFill="1" applyFont="1">
      <alignment shrinkToFit="0" vertical="center" wrapText="0"/>
    </xf>
    <xf borderId="4" fillId="2" fontId="10" numFmtId="0" xfId="0" applyAlignment="1" applyBorder="1" applyFill="1" applyFont="1">
      <alignment shrinkToFit="0" vertical="center" wrapText="0"/>
    </xf>
    <xf borderId="22" fillId="3" fontId="9" numFmtId="1" xfId="0" applyAlignment="1" applyBorder="1" applyFill="1" applyFont="1" applyNumberFormat="1">
      <alignment horizontal="right" shrinkToFit="0" vertical="center" wrapText="0"/>
    </xf>
    <xf borderId="0" fillId="3" fontId="9" numFmtId="1" xfId="0" applyAlignment="1" applyFill="1" applyFont="1" applyNumberFormat="1">
      <alignment horizontal="right" shrinkToFit="0" vertical="center" wrapText="0"/>
    </xf>
    <xf borderId="22" fillId="3" fontId="9" numFmtId="1" xfId="0" applyAlignment="1" applyBorder="1" applyFill="1" applyFont="1" applyNumberFormat="1">
      <alignment horizontal="right" shrinkToFit="0" vertical="center" wrapText="0"/>
    </xf>
    <xf borderId="22" fillId="3" fontId="9" numFmtId="1" xfId="0" applyAlignment="1" applyBorder="1" applyFill="1" applyFont="1" applyNumberFormat="1">
      <alignment horizontal="right" readingOrder="0" shrinkToFit="0" vertical="center" wrapText="0"/>
    </xf>
    <xf borderId="21" fillId="3" fontId="2" numFmtId="9" xfId="0" applyAlignment="1" applyBorder="1" applyFill="1" applyFont="1" applyNumberFormat="1">
      <alignment horizontal="right" readingOrder="0" shrinkToFit="0" vertical="center" wrapText="0"/>
    </xf>
    <xf borderId="4" fillId="2" fontId="11" numFmtId="9" xfId="0" applyAlignment="1" applyBorder="1" applyFill="1" applyFont="1" applyNumberFormat="1">
      <alignment shrinkToFit="0" vertical="center" wrapText="0"/>
    </xf>
    <xf borderId="22" fillId="3" fontId="9" numFmtId="0" xfId="0" applyAlignment="1" applyBorder="1" applyFill="1" applyFont="1">
      <alignment horizontal="right" readingOrder="0" shrinkToFit="0" vertical="center" wrapText="0"/>
    </xf>
    <xf borderId="8" fillId="2" fontId="11" numFmtId="2" xfId="0" applyAlignment="1" applyBorder="1" applyFill="1" applyFont="1" applyNumberFormat="1">
      <alignment horizontal="right" shrinkToFit="0" vertical="center" wrapText="0"/>
    </xf>
    <xf borderId="25" fillId="3" fontId="2" numFmtId="2" xfId="0" applyAlignment="1" applyBorder="1" applyFill="1" applyFont="1" applyNumberFormat="1">
      <alignment horizontal="right" shrinkToFit="0" vertical="center" wrapText="0"/>
    </xf>
    <xf borderId="25" fillId="3" fontId="2" numFmtId="2" xfId="0" applyAlignment="1" applyBorder="1" applyFill="1" applyFont="1" applyNumberForma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9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4" fillId="3" fontId="10" numFmtId="0" xfId="0" applyAlignment="1" applyBorder="1" applyFill="1" applyFont="1">
      <alignment shrinkToFit="0" vertical="center" wrapText="0"/>
    </xf>
    <xf borderId="6" fillId="3" fontId="11" numFmtId="9" xfId="0" applyAlignment="1" applyBorder="1" applyFill="1" applyFont="1" applyNumberFormat="1">
      <alignment shrinkToFit="0" vertical="center" wrapText="0"/>
    </xf>
    <xf borderId="26" fillId="3" fontId="9" numFmtId="0" xfId="0" applyAlignment="1" applyBorder="1" applyFill="1" applyFont="1">
      <alignment shrinkToFit="0" vertical="center" wrapText="0"/>
    </xf>
    <xf borderId="7" fillId="3" fontId="11" numFmtId="2" xfId="0" applyAlignment="1" applyBorder="1" applyFill="1" applyFont="1" applyNumberFormat="1">
      <alignment horizontal="right" shrinkToFit="0" vertical="center" wrapText="0"/>
    </xf>
    <xf borderId="4" fillId="2" fontId="2" numFmtId="9" xfId="0" applyAlignment="1" applyBorder="1" applyFill="1" applyFont="1" applyNumberFormat="1">
      <alignment horizontal="right" readingOrder="0" shrinkToFit="0" vertical="center" wrapText="0"/>
    </xf>
    <xf borderId="4" fillId="2" fontId="2" numFmtId="9" xfId="0" applyAlignment="1" applyBorder="1" applyFill="1" applyFont="1" applyNumberFormat="1">
      <alignment readingOrder="0" shrinkToFit="0" vertical="center" wrapText="0"/>
    </xf>
    <xf borderId="4" fillId="2" fontId="2" numFmtId="9" xfId="0" applyAlignment="1" applyBorder="1" applyFill="1" applyFont="1" applyNumberFormat="1">
      <alignment shrinkToFit="0" vertical="center" wrapText="0"/>
    </xf>
    <xf borderId="27" fillId="3" fontId="9" numFmtId="0" xfId="0" applyAlignment="1" applyBorder="1" applyFill="1" applyFont="1">
      <alignment readingOrder="0" shrinkToFit="0" vertical="center" wrapText="0"/>
    </xf>
    <xf borderId="1" fillId="3" fontId="9" numFmtId="0" xfId="0" applyAlignment="1" applyBorder="1" applyFill="1" applyFont="1">
      <alignment readingOrder="0" shrinkToFit="0" vertical="center" wrapText="0"/>
    </xf>
    <xf borderId="28" fillId="2" fontId="10" numFmtId="0" xfId="0" applyAlignment="1" applyBorder="1" applyFill="1" applyFont="1">
      <alignment shrinkToFit="0" vertical="center" wrapText="0"/>
    </xf>
    <xf borderId="29" fillId="3" fontId="9" numFmtId="1" xfId="0" applyAlignment="1" applyBorder="1" applyFill="1" applyFont="1" applyNumberFormat="1">
      <alignment horizontal="right" readingOrder="0" shrinkToFit="0" vertical="center" wrapText="0"/>
    </xf>
    <xf borderId="29" fillId="3" fontId="9" numFmtId="0" xfId="0" applyAlignment="1" applyBorder="1" applyFill="1" applyFont="1">
      <alignment horizontal="right" readingOrder="0" shrinkToFit="0" vertical="center" wrapText="0"/>
    </xf>
    <xf borderId="29" fillId="3" fontId="10" numFmtId="1" xfId="0" applyAlignment="1" applyBorder="1" applyFill="1" applyFont="1" applyNumberFormat="1">
      <alignment horizontal="right" shrinkToFit="0" vertical="center" wrapText="0"/>
    </xf>
    <xf borderId="30" fillId="3" fontId="2" numFmtId="2" xfId="0" applyAlignment="1" applyBorder="1" applyFill="1" applyFont="1" applyNumberFormat="1">
      <alignment horizontal="right" readingOrder="0" shrinkToFit="0" vertical="center" wrapText="0"/>
    </xf>
    <xf borderId="1" fillId="3" fontId="10" numFmtId="1" xfId="0" applyAlignment="1" applyBorder="1" applyFill="1" applyFont="1" applyNumberFormat="1">
      <alignment horizontal="right" shrinkToFit="0" vertical="center" wrapText="0"/>
    </xf>
    <xf borderId="29" fillId="3" fontId="10" numFmtId="1" xfId="0" applyAlignment="1" applyBorder="1" applyFill="1" applyFont="1" applyNumberFormat="1">
      <alignment horizontal="right" shrinkToFit="0" vertical="center" wrapText="0"/>
    </xf>
    <xf borderId="28" fillId="2" fontId="11" numFmtId="9" xfId="0" applyAlignment="1" applyBorder="1" applyFill="1" applyFont="1" applyNumberFormat="1">
      <alignment shrinkToFit="0" vertical="center" wrapText="0"/>
    </xf>
    <xf borderId="1" fillId="0" fontId="2" numFmtId="2" xfId="0" applyAlignment="1" applyBorder="1" applyFont="1" applyNumberFormat="1">
      <alignment shrinkToFit="0" vertical="center" wrapText="0"/>
    </xf>
    <xf borderId="31" fillId="2" fontId="11" numFmtId="2" xfId="0" applyAlignment="1" applyBorder="1" applyFill="1" applyFont="1" applyNumberFormat="1">
      <alignment horizontal="right" shrinkToFit="0" vertical="center" wrapText="0"/>
    </xf>
    <xf borderId="1" fillId="0" fontId="11" numFmtId="2" xfId="0" applyAlignment="1" applyBorder="1" applyFont="1" applyNumberFormat="1">
      <alignment shrinkToFit="0" vertical="center" wrapText="0"/>
    </xf>
    <xf borderId="6" fillId="3" fontId="2" numFmtId="9" xfId="0" applyAlignment="1" applyBorder="1" applyFill="1" applyFont="1" applyNumberFormat="1">
      <alignment readingOrder="0" shrinkToFit="0" vertical="center" wrapText="0"/>
    </xf>
    <xf borderId="1" fillId="0" fontId="11" numFmtId="1" xfId="0" applyAlignment="1" applyBorder="1" applyFont="1" applyNumberFormat="1">
      <alignment readingOrder="0" shrinkToFit="0" vertical="center" wrapText="0"/>
    </xf>
    <xf borderId="1" fillId="0" fontId="2" numFmtId="1" xfId="0" applyAlignment="1" applyBorder="1" applyFont="1" applyNumberFormat="1">
      <alignment shrinkToFit="0" vertical="center" wrapText="0"/>
    </xf>
    <xf borderId="32" fillId="2" fontId="9" numFmtId="0" xfId="0" applyAlignment="1" applyBorder="1" applyFill="1" applyFont="1">
      <alignment shrinkToFit="0" vertical="center" wrapText="0"/>
    </xf>
    <xf borderId="1" fillId="0" fontId="11" numFmtId="1" xfId="0" applyAlignment="1" applyBorder="1" applyFont="1" applyNumberFormat="1">
      <alignment shrinkToFit="0" vertical="center" wrapText="0"/>
    </xf>
    <xf borderId="33" fillId="3" fontId="10" numFmtId="0" xfId="0" applyAlignment="1" applyBorder="1" applyFill="1" applyFont="1">
      <alignment shrinkToFit="0" vertical="center" wrapText="0"/>
    </xf>
    <xf borderId="15" fillId="3" fontId="9" numFmtId="0" xfId="0" applyAlignment="1" applyBorder="1" applyFill="1" applyFont="1">
      <alignment shrinkToFit="0" vertical="center" wrapText="0"/>
    </xf>
    <xf borderId="21" fillId="3" fontId="10" numFmtId="1" xfId="0" applyAlignment="1" applyBorder="1" applyFill="1" applyFont="1" applyNumberFormat="1">
      <alignment horizontal="right" shrinkToFit="0" vertical="center" wrapText="0"/>
    </xf>
    <xf borderId="16" fillId="3" fontId="9" numFmtId="0" xfId="0" applyAlignment="1" applyBorder="1" applyFill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6" fillId="3" fontId="9" numFmtId="1" xfId="0" applyAlignment="1" applyBorder="1" applyFill="1" applyFont="1" applyNumberFormat="1">
      <alignment horizontal="right" shrinkToFit="0" vertical="center" wrapText="0"/>
    </xf>
    <xf borderId="34" fillId="3" fontId="2" numFmtId="9" xfId="0" applyAlignment="1" applyBorder="1" applyFill="1" applyFont="1" applyNumberFormat="1">
      <alignment horizontal="right" readingOrder="0" shrinkToFit="0" vertical="center" wrapText="0"/>
    </xf>
    <xf borderId="16" fillId="3" fontId="9" numFmtId="0" xfId="0" applyAlignment="1" applyBorder="1" applyFill="1" applyFont="1">
      <alignment horizontal="right" shrinkToFit="0" vertical="center" wrapText="0"/>
    </xf>
    <xf borderId="27" fillId="2" fontId="9" numFmtId="0" xfId="0" applyAlignment="1" applyBorder="1" applyFill="1" applyFont="1">
      <alignment readingOrder="0" shrinkToFit="0" vertical="center" wrapText="0"/>
    </xf>
    <xf borderId="1" fillId="0" fontId="2" numFmtId="9" xfId="0" applyAlignment="1" applyBorder="1" applyFont="1" applyNumberFormat="1">
      <alignment readingOrder="0" shrinkToFit="0" vertical="center" wrapText="0"/>
    </xf>
    <xf borderId="35" fillId="3" fontId="9" numFmtId="0" xfId="0" applyAlignment="1" applyBorder="1" applyFill="1" applyFont="1">
      <alignment shrinkToFit="0" vertical="center" wrapText="0"/>
    </xf>
    <xf borderId="1" fillId="0" fontId="2" numFmtId="9" xfId="0" applyAlignment="1" applyBorder="1" applyFont="1" applyNumberFormat="1">
      <alignment readingOrder="0" shrinkToFit="0" vertical="center" wrapText="0"/>
    </xf>
    <xf borderId="21" fillId="3" fontId="10" numFmtId="1" xfId="0" applyAlignment="1" applyBorder="1" applyFill="1" applyFont="1" applyNumberFormat="1">
      <alignment horizontal="right" shrinkToFit="0" vertical="center" wrapText="0"/>
    </xf>
    <xf borderId="36" fillId="3" fontId="2" numFmtId="2" xfId="0" applyAlignment="1" applyBorder="1" applyFill="1" applyFont="1" applyNumberFormat="1">
      <alignment horizontal="right" shrinkToFit="0" vertical="center" wrapText="0"/>
    </xf>
    <xf borderId="19" fillId="0" fontId="2" numFmtId="2" xfId="0" applyAlignment="1" applyBorder="1" applyFont="1" applyNumberFormat="1">
      <alignment readingOrder="0" shrinkToFit="0" vertical="center" wrapText="0"/>
    </xf>
    <xf borderId="29" fillId="3" fontId="9" numFmtId="1" xfId="0" applyAlignment="1" applyBorder="1" applyFill="1" applyFont="1" applyNumberFormat="1">
      <alignment horizontal="right" shrinkToFit="0" vertical="center" wrapText="0"/>
    </xf>
    <xf borderId="1" fillId="3" fontId="9" numFmtId="1" xfId="0" applyAlignment="1" applyBorder="1" applyFill="1" applyFont="1" applyNumberFormat="1">
      <alignment horizontal="right" shrinkToFit="0" vertical="center" wrapText="0"/>
    </xf>
    <xf borderId="37" fillId="0" fontId="11" numFmtId="2" xfId="0" applyAlignment="1" applyBorder="1" applyFont="1" applyNumberFormat="1">
      <alignment shrinkToFit="0" vertical="center" wrapText="0"/>
    </xf>
    <xf borderId="29" fillId="3" fontId="9" numFmtId="1" xfId="0" applyAlignment="1" applyBorder="1" applyFill="1" applyFont="1" applyNumberFormat="1">
      <alignment horizontal="right" shrinkToFit="0" vertical="center" wrapText="0"/>
    </xf>
    <xf borderId="37" fillId="0" fontId="11" numFmtId="165" xfId="0" applyAlignment="1" applyBorder="1" applyFont="1" applyNumberFormat="1">
      <alignment shrinkToFit="0" vertical="center" wrapText="0"/>
    </xf>
    <xf borderId="28" fillId="2" fontId="2" numFmtId="9" xfId="0" applyAlignment="1" applyBorder="1" applyFill="1" applyFont="1" applyNumberFormat="1">
      <alignment shrinkToFit="0" vertical="center" wrapText="0"/>
    </xf>
    <xf borderId="30" fillId="3" fontId="2" numFmtId="2" xfId="0" applyAlignment="1" applyBorder="1" applyFill="1" applyFont="1" applyNumberFormat="1">
      <alignment horizontal="right" shrinkToFit="0" vertical="center" wrapText="0"/>
    </xf>
    <xf borderId="38" fillId="0" fontId="11" numFmtId="165" xfId="0" applyAlignment="1" applyBorder="1" applyFont="1" applyNumberFormat="1">
      <alignment shrinkToFit="0" vertical="center" wrapText="0"/>
    </xf>
    <xf borderId="19" fillId="0" fontId="2" numFmtId="165" xfId="0" applyAlignment="1" applyBorder="1" applyFont="1" applyNumberFormat="1">
      <alignment shrinkToFit="0" vertical="center" wrapText="0"/>
    </xf>
    <xf borderId="1" fillId="0" fontId="2" numFmtId="1" xfId="0" applyAlignment="1" applyBorder="1" applyFont="1" applyNumberFormat="1">
      <alignment shrinkToFit="0" vertical="center" wrapText="0"/>
    </xf>
    <xf borderId="37" fillId="0" fontId="11" numFmtId="1" xfId="0" applyAlignment="1" applyBorder="1" applyFont="1" applyNumberFormat="1">
      <alignment readingOrder="0" shrinkToFit="0" vertical="center" wrapText="0"/>
    </xf>
    <xf borderId="39" fillId="0" fontId="11" numFmtId="10" xfId="0" applyAlignment="1" applyBorder="1" applyFont="1" applyNumberFormat="1">
      <alignment shrinkToFit="0" vertical="center" wrapText="0"/>
    </xf>
    <xf borderId="37" fillId="0" fontId="11" numFmtId="1" xfId="0" applyAlignment="1" applyBorder="1" applyFont="1" applyNumberFormat="1">
      <alignment shrinkToFit="0" vertical="center" wrapText="0"/>
    </xf>
    <xf borderId="37" fillId="0" fontId="11" numFmtId="10" xfId="0" applyAlignment="1" applyBorder="1" applyFont="1" applyNumberFormat="1">
      <alignment shrinkToFit="0" vertical="center" wrapText="0"/>
    </xf>
    <xf borderId="1" fillId="0" fontId="2" numFmtId="1" xfId="0" applyAlignment="1" applyBorder="1" applyFont="1" applyNumberFormat="1">
      <alignment readingOrder="0" shrinkToFit="0" vertical="center" wrapText="0"/>
    </xf>
    <xf borderId="0" fillId="2" fontId="9" numFmtId="1" xfId="0" applyAlignment="1" applyFill="1" applyFont="1" applyNumberFormat="1">
      <alignment horizontal="right" shrinkToFit="0" vertical="center" wrapText="0"/>
    </xf>
    <xf borderId="9" fillId="2" fontId="10" numFmtId="0" xfId="0" applyAlignment="1" applyBorder="1" applyFill="1" applyFont="1">
      <alignment shrinkToFit="0" vertical="center" wrapText="0"/>
    </xf>
    <xf borderId="37" fillId="0" fontId="2" numFmtId="9" xfId="0" applyAlignment="1" applyBorder="1" applyFont="1" applyNumberFormat="1">
      <alignment readingOrder="0" shrinkToFit="0" vertical="center" wrapText="0"/>
    </xf>
    <xf borderId="37" fillId="0" fontId="2" numFmtId="9" xfId="0" applyAlignment="1" applyBorder="1" applyFont="1" applyNumberFormat="1">
      <alignment readingOrder="0" shrinkToFit="0" vertical="center" wrapText="0"/>
    </xf>
    <xf borderId="39" fillId="0" fontId="2" numFmtId="2" xfId="0" applyAlignment="1" applyBorder="1" applyFont="1" applyNumberFormat="1">
      <alignment readingOrder="0" shrinkToFit="0" vertical="center" wrapText="0"/>
    </xf>
    <xf borderId="6" fillId="3" fontId="10" numFmtId="1" xfId="0" applyAlignment="1" applyBorder="1" applyFill="1" applyFont="1" applyNumberFormat="1">
      <alignment horizontal="right" shrinkToFit="0" vertical="center" wrapText="0"/>
    </xf>
    <xf borderId="8" fillId="2" fontId="2" numFmtId="2" xfId="0" applyAlignment="1" applyBorder="1" applyFill="1" applyFont="1" applyNumberFormat="1">
      <alignment horizontal="right" shrinkToFit="0" vertical="center" wrapText="0"/>
    </xf>
    <xf borderId="40" fillId="2" fontId="9" numFmtId="0" xfId="0" applyAlignment="1" applyBorder="1" applyFill="1" applyFont="1">
      <alignment shrinkToFit="0" vertical="center" wrapText="0"/>
    </xf>
    <xf borderId="6" fillId="3" fontId="10" numFmtId="1" xfId="0" applyAlignment="1" applyBorder="1" applyFill="1" applyFont="1" applyNumberFormat="1">
      <alignment horizontal="right" shrinkToFit="0" vertical="center" wrapText="0"/>
    </xf>
    <xf borderId="21" fillId="3" fontId="9" numFmtId="1" xfId="0" applyAlignment="1" applyBorder="1" applyFill="1" applyFont="1" applyNumberFormat="1">
      <alignment horizontal="right" shrinkToFit="0" vertical="center" wrapText="0"/>
    </xf>
    <xf borderId="21" fillId="3" fontId="9" numFmtId="1" xfId="0" applyAlignment="1" applyBorder="1" applyFill="1" applyFont="1" applyNumberFormat="1">
      <alignment horizontal="right" shrinkToFit="0" vertical="center" wrapText="0"/>
    </xf>
    <xf borderId="23" fillId="3" fontId="2" numFmtId="2" xfId="0" applyAlignment="1" applyBorder="1" applyFill="1" applyFont="1" applyNumberFormat="1">
      <alignment horizontal="right" shrinkToFit="0" vertical="center" wrapText="0"/>
    </xf>
    <xf borderId="37" fillId="0" fontId="2" numFmtId="2" xfId="0" applyAlignment="1" applyBorder="1" applyFont="1" applyNumberFormat="1">
      <alignment shrinkToFit="0" vertical="center" wrapText="0"/>
    </xf>
    <xf borderId="37" fillId="0" fontId="2" numFmtId="165" xfId="0" applyAlignment="1" applyBorder="1" applyFont="1" applyNumberFormat="1">
      <alignment shrinkToFit="0" vertical="center" wrapText="0"/>
    </xf>
    <xf borderId="38" fillId="0" fontId="2" numFmtId="165" xfId="0" applyAlignment="1" applyBorder="1" applyFont="1" applyNumberFormat="1">
      <alignment shrinkToFit="0" vertical="center" wrapText="0"/>
    </xf>
    <xf borderId="9" fillId="3" fontId="10" numFmtId="0" xfId="0" applyAlignment="1" applyBorder="1" applyFill="1" applyFont="1">
      <alignment shrinkToFit="0" vertical="center" wrapText="0"/>
    </xf>
    <xf borderId="37" fillId="0" fontId="2" numFmtId="1" xfId="0" applyAlignment="1" applyBorder="1" applyFont="1" applyNumberFormat="1">
      <alignment readingOrder="0" shrinkToFit="0" vertical="center" wrapText="0"/>
    </xf>
    <xf borderId="39" fillId="0" fontId="2" numFmtId="10" xfId="0" applyAlignment="1" applyBorder="1" applyFont="1" applyNumberFormat="1">
      <alignment shrinkToFit="0" vertical="center" wrapText="0"/>
    </xf>
    <xf borderId="7" fillId="3" fontId="2" numFmtId="2" xfId="0" applyAlignment="1" applyBorder="1" applyFill="1" applyFont="1" applyNumberFormat="1">
      <alignment horizontal="right" shrinkToFit="0" vertical="center" wrapText="0"/>
    </xf>
    <xf borderId="37" fillId="0" fontId="2" numFmtId="1" xfId="0" applyAlignment="1" applyBorder="1" applyFont="1" applyNumberFormat="1">
      <alignment shrinkToFit="0" vertical="center" wrapText="0"/>
    </xf>
    <xf borderId="37" fillId="0" fontId="2" numFmtId="10" xfId="0" applyAlignment="1" applyBorder="1" applyFont="1" applyNumberFormat="1">
      <alignment shrinkToFit="0" vertical="center" wrapText="0"/>
    </xf>
    <xf borderId="41" fillId="3" fontId="9" numFmtId="0" xfId="0" applyAlignment="1" applyBorder="1" applyFill="1" applyFont="1">
      <alignment shrinkToFit="0" vertical="center" wrapText="0"/>
    </xf>
    <xf borderId="6" fillId="3" fontId="9" numFmtId="1" xfId="0" applyAlignment="1" applyBorder="1" applyFill="1" applyFont="1" applyNumberFormat="1">
      <alignment horizontal="right" shrinkToFit="0" vertical="center" wrapText="0"/>
    </xf>
    <xf borderId="42" fillId="2" fontId="10" numFmtId="0" xfId="0" applyAlignment="1" applyBorder="1" applyFill="1" applyFont="1">
      <alignment shrinkToFit="0" vertical="center" wrapText="0"/>
    </xf>
    <xf borderId="16" fillId="3" fontId="10" numFmtId="1" xfId="0" applyAlignment="1" applyBorder="1" applyFill="1" applyFont="1" applyNumberFormat="1">
      <alignment horizontal="right" shrinkToFit="0" vertical="center" wrapText="0"/>
    </xf>
    <xf borderId="16" fillId="3" fontId="10" numFmtId="1" xfId="0" applyAlignment="1" applyBorder="1" applyFill="1" applyFont="1" applyNumberFormat="1">
      <alignment horizontal="right" shrinkToFit="0" vertical="center" wrapText="0"/>
    </xf>
    <xf borderId="31" fillId="2" fontId="2" numFmtId="2" xfId="0" applyAlignment="1" applyBorder="1" applyFill="1" applyFont="1" applyNumberFormat="1">
      <alignment horizontal="right" shrinkToFit="0" vertical="center" wrapText="0"/>
    </xf>
    <xf borderId="5" fillId="3" fontId="10" numFmtId="0" xfId="0" applyAlignment="1" applyBorder="1" applyFill="1" applyFont="1">
      <alignment shrinkToFit="0" vertical="center" wrapText="0"/>
    </xf>
    <xf borderId="43" fillId="2" fontId="9" numFmtId="0" xfId="0" applyAlignment="1" applyBorder="1" applyFill="1" applyFont="1">
      <alignment shrinkToFit="0" vertical="center" wrapText="0"/>
    </xf>
    <xf borderId="34" fillId="3" fontId="9" numFmtId="1" xfId="0" applyAlignment="1" applyBorder="1" applyFill="1" applyFont="1" applyNumberFormat="1">
      <alignment horizontal="right" shrinkToFit="0" vertical="center" wrapText="0"/>
    </xf>
    <xf borderId="44" fillId="3" fontId="9" numFmtId="0" xfId="0" applyAlignment="1" applyBorder="1" applyFill="1" applyFont="1">
      <alignment shrinkToFit="0" vertical="center" wrapText="0"/>
    </xf>
    <xf borderId="34" fillId="3" fontId="9" numFmtId="1" xfId="0" applyAlignment="1" applyBorder="1" applyFill="1" applyFont="1" applyNumberFormat="1">
      <alignment horizontal="right" shrinkToFit="0" vertical="center" wrapText="0"/>
    </xf>
    <xf borderId="16" fillId="3" fontId="9" numFmtId="1" xfId="0" applyAlignment="1" applyBorder="1" applyFill="1" applyFont="1" applyNumberFormat="1">
      <alignment horizontal="right" shrinkToFit="0" vertical="center" wrapText="0"/>
    </xf>
    <xf borderId="0" fillId="0" fontId="11" numFmtId="1" xfId="0" applyAlignment="1" applyFont="1" applyNumberFormat="1">
      <alignment shrinkToFit="0" vertical="center" wrapText="0"/>
    </xf>
    <xf borderId="32" fillId="2" fontId="9" numFmtId="1" xfId="0" applyAlignment="1" applyBorder="1" applyFill="1" applyFont="1" applyNumberFormat="1">
      <alignment horizontal="right" shrinkToFit="0" vertical="center" wrapText="0"/>
    </xf>
    <xf borderId="39" fillId="0" fontId="2" numFmtId="165" xfId="0" applyAlignment="1" applyBorder="1" applyFont="1" applyNumberFormat="1">
      <alignment shrinkToFit="0" vertical="center" wrapText="0"/>
    </xf>
    <xf borderId="37" fillId="0" fontId="2" numFmtId="1" xfId="0" applyAlignment="1" applyBorder="1" applyFont="1" applyNumberFormat="1">
      <alignment shrinkToFit="0" vertical="center" wrapText="0"/>
    </xf>
    <xf borderId="45" fillId="2" fontId="10" numFmtId="0" xfId="0" applyAlignment="1" applyBorder="1" applyFill="1" applyFont="1">
      <alignment shrinkToFit="0" vertical="center" wrapText="0"/>
    </xf>
    <xf borderId="46" fillId="2" fontId="10" numFmtId="0" xfId="0" applyAlignment="1" applyBorder="1" applyFill="1" applyFont="1">
      <alignment shrinkToFit="0" vertical="center" wrapText="0"/>
    </xf>
    <xf borderId="46" fillId="2" fontId="11" numFmtId="9" xfId="0" applyAlignment="1" applyBorder="1" applyFill="1" applyFont="1" applyNumberFormat="1">
      <alignment shrinkToFit="0" vertical="center" wrapText="0"/>
    </xf>
    <xf borderId="47" fillId="2" fontId="11" numFmtId="2" xfId="0" applyAlignment="1" applyBorder="1" applyFill="1" applyFont="1" applyNumberFormat="1">
      <alignment horizontal="right" shrinkToFit="0" vertical="center" wrapText="0"/>
    </xf>
    <xf borderId="28" fillId="2" fontId="9" numFmtId="1" xfId="0" applyAlignment="1" applyBorder="1" applyFill="1" applyFont="1" applyNumberFormat="1">
      <alignment horizontal="right" shrinkToFit="0" vertical="center" wrapText="0"/>
    </xf>
    <xf borderId="48" fillId="3" fontId="9" numFmtId="0" xfId="0" applyAlignment="1" applyBorder="1" applyFill="1" applyFont="1">
      <alignment shrinkToFit="0" vertical="center" wrapText="0"/>
    </xf>
    <xf borderId="49" fillId="3" fontId="9" numFmtId="0" xfId="0" applyAlignment="1" applyBorder="1" applyFill="1" applyFont="1">
      <alignment shrinkToFit="0" vertical="center" wrapText="0"/>
    </xf>
    <xf borderId="46" fillId="2" fontId="2" numFmtId="9" xfId="0" applyAlignment="1" applyBorder="1" applyFill="1" applyFont="1" applyNumberFormat="1">
      <alignment shrinkToFit="0" vertical="center" wrapText="0"/>
    </xf>
    <xf borderId="47" fillId="2" fontId="2" numFmtId="2" xfId="0" applyAlignment="1" applyBorder="1" applyFill="1" applyFont="1" applyNumberFormat="1">
      <alignment horizontal="right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4" fillId="2" fontId="9" numFmtId="1" xfId="0" applyAlignment="1" applyBorder="1" applyFill="1" applyFont="1" applyNumberFormat="1">
      <alignment horizontal="right" shrinkToFit="0" vertical="center" wrapText="0"/>
    </xf>
    <xf borderId="0" fillId="0" fontId="5" numFmtId="0" xfId="0" applyAlignment="1" applyFont="1">
      <alignment readingOrder="0"/>
    </xf>
    <xf borderId="28" fillId="2" fontId="9" numFmtId="0" xfId="0" applyAlignment="1" applyBorder="1" applyFill="1" applyFont="1">
      <alignment readingOrder="0" shrinkToFit="0" vertical="center" wrapText="0"/>
    </xf>
    <xf borderId="28" fillId="2" fontId="9" numFmtId="1" xfId="0" applyAlignment="1" applyBorder="1" applyFill="1" applyFont="1" applyNumberFormat="1">
      <alignment horizontal="right" readingOrder="0" shrinkToFit="0" vertical="center" wrapText="0"/>
    </xf>
    <xf borderId="40" fillId="2" fontId="9" numFmtId="0" xfId="0" applyAlignment="1" applyBorder="1" applyFill="1" applyFont="1">
      <alignment readingOrder="0" shrinkToFit="0" vertical="center" wrapText="0"/>
    </xf>
    <xf borderId="34" fillId="3" fontId="9" numFmtId="0" xfId="0" applyAlignment="1" applyBorder="1" applyFill="1" applyFont="1">
      <alignment shrinkToFit="0" vertical="center" wrapText="0"/>
    </xf>
    <xf borderId="34" fillId="3" fontId="14" numFmtId="0" xfId="0" applyAlignment="1" applyBorder="1" applyFill="1" applyFont="1">
      <alignment shrinkToFit="0" vertical="center" wrapText="0"/>
    </xf>
    <xf borderId="38" fillId="0" fontId="2" numFmtId="1" xfId="0" applyAlignment="1" applyBorder="1" applyFont="1" applyNumberFormat="1">
      <alignment shrinkToFit="0" vertical="center" wrapText="0"/>
    </xf>
    <xf borderId="41" fillId="3" fontId="9" numFmtId="0" xfId="0" applyAlignment="1" applyBorder="1" applyFill="1" applyFont="1">
      <alignment readingOrder="0" shrinkToFit="0" vertical="center" wrapText="0"/>
    </xf>
    <xf borderId="4" fillId="2" fontId="14" numFmtId="0" xfId="0" applyAlignment="1" applyBorder="1" applyFill="1" applyFont="1">
      <alignment shrinkToFit="0" vertical="center" wrapText="0"/>
    </xf>
    <xf borderId="6" fillId="3" fontId="14" numFmtId="0" xfId="0" applyAlignment="1" applyBorder="1" applyFill="1" applyFont="1">
      <alignment shrinkToFit="0" vertical="center" wrapText="0"/>
    </xf>
    <xf borderId="44" fillId="3" fontId="9" numFmtId="0" xfId="0" applyAlignment="1" applyBorder="1" applyFill="1" applyFont="1">
      <alignment readingOrder="0" shrinkToFit="0" vertical="center" wrapText="0"/>
    </xf>
    <xf borderId="46" fillId="2" fontId="9" numFmtId="0" xfId="0" applyAlignment="1" applyBorder="1" applyFill="1" applyFont="1">
      <alignment shrinkToFit="0" vertical="center" wrapText="0"/>
    </xf>
    <xf borderId="46" fillId="2" fontId="14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B7B7B7"/>
      </font>
      <fill>
        <patternFill patternType="none"/>
      </fill>
      <border/>
    </dxf>
  </dxfs>
  <tableStyles count="15">
    <tableStyle count="3" pivot="0" name="Notes-style">
      <tableStyleElement dxfId="1" type="headerRow"/>
      <tableStyleElement dxfId="2" type="firstRowStripe"/>
      <tableStyleElement dxfId="3" type="secondRowStripe"/>
    </tableStyle>
    <tableStyle count="4" pivot="0" name="Staff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caling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Bow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taff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caling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Bow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caling-style 3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caling-style 4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Axe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Axe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word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word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Dagger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Dagger-style 2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7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No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3:F9" displayName="Moonstone_Weapons" name="Moonstone_Weapons" id="2">
  <tableColumns count="6">
    <tableColumn name="Column 1" id="1"/>
    <tableColumn name="Staff" id="2"/>
    <tableColumn name="Bow" id="3"/>
    <tableColumn name="Sword" id="4"/>
    <tableColumn name="Axe" id="5"/>
    <tableColumn name="Dagger" id="6"/>
  </tableColumns>
  <tableStyleInfo name="Scaling-style" showColumnStripes="0" showFirstColumn="1" showLastColumn="1" showRowStripes="1"/>
</table>
</file>

<file path=xl/tables/table3.xml><?xml version="1.0" encoding="utf-8"?>
<table xmlns="http://schemas.openxmlformats.org/spreadsheetml/2006/main" ref="A12:E18" displayName="Moonstone_Armor" name="Moonstone_Armor" id="6">
  <tableColumns count="5">
    <tableColumn name="Column 1" id="1"/>
    <tableColumn name="Robe" id="2"/>
    <tableColumn name="Mail" id="3"/>
    <tableColumn name="Plate" id="4"/>
    <tableColumn name="Sheild" id="5"/>
  </tableColumns>
  <tableStyleInfo name="Scaling-style 2" showColumnStripes="0" showFirstColumn="1" showLastColumn="1" showRowStripes="1"/>
</table>
</file>

<file path=xl/tables/table4.xml><?xml version="1.0" encoding="utf-8"?>
<table xmlns="http://schemas.openxmlformats.org/spreadsheetml/2006/main" ref="A21:C25" displayName="Rarity_Bonus_Levels_" name="Rarity_Bonus_Levels_" id="8">
  <tableColumns count="3">
    <tableColumn name="Rarity" id="1"/>
    <tableColumn name="Identifier" id="2"/>
    <tableColumn name="Bonus Lvls" id="3"/>
  </tableColumns>
  <tableStyleInfo name="Scaling-style 3" showColumnStripes="0" showFirstColumn="1" showLastColumn="1" showRowStripes="1"/>
</table>
</file>

<file path=xl/tables/table5.xml><?xml version="1.0" encoding="utf-8"?>
<table xmlns="http://schemas.openxmlformats.org/spreadsheetml/2006/main" ref="A29:C32" displayName="Secondary_Damage_Percentages" name="Secondary_Damage_Percentages" id="9">
  <tableColumns count="3">
    <tableColumn name="Rarity" id="1"/>
    <tableColumn name="1 Source" id="2"/>
    <tableColumn name="3 Sources" id="3"/>
  </tableColumns>
  <tableStyleInfo name="Scaling-style 4" showColumnStripes="0" showFirstColumn="1" showLastColumn="1" showRowStripes="1"/>
</table>
</file>

<file path=xl/tables/table6.xml><?xml version="1.0" encoding="utf-8"?>
<table xmlns="http://schemas.openxmlformats.org/spreadsheetml/2006/main" ref="A2:H3" displayName="Staff_Bonuses" name="Staff_Bonuses" id="3">
  <tableColumns count="8">
    <tableColumn name="Mag/Dmg" id="1"/>
    <tableColumn name="Special_x000a_Mult" id="2"/>
    <tableColumn name="Pe" id="3"/>
    <tableColumn name="Tr1" id="4"/>
    <tableColumn name="Tr2" id="5"/>
    <tableColumn name="Py" id="6"/>
    <tableColumn name="He" id="7"/>
    <tableColumn name="Vo" id="8"/>
  </tableColumns>
  <tableStyleInfo name="Staff-style" showColumnStripes="0" showFirstColumn="1" showLastColumn="1" showRowStripes="1"/>
</table>
</file>

<file path=xl/tables/table7.xml><?xml version="1.0" encoding="utf-8"?>
<table xmlns="http://schemas.openxmlformats.org/spreadsheetml/2006/main" ref="A6:V40" displayName="Table2" name="Table2" id="5">
  <tableColumns count="22">
    <tableColumn name="Staff_x000a_Identifier" id="1"/>
    <tableColumn name="Staff_x000a_Type" id="2"/>
    <tableColumn name="Special_x000a_Type" id="3"/>
    <tableColumn name="Traits" id="4"/>
    <tableColumn name="Magicka" id="5"/>
    <tableColumn name="Weapon_x000a_Dmg" id="6"/>
    <tableColumn name="Fire %" id="7"/>
    <tableColumn name="Frost %" id="8"/>
    <tableColumn name="Shock %" id="9"/>
    <tableColumn name="Armor_x000a_Bonus" id="10"/>
    <tableColumn name="Dmg_x000a_Mult" id="11"/>
    <tableColumn name="Magicka_x000a_Dmg" id="12"/>
    <tableColumn name="Primary_x000a_Dmg" id="13"/>
    <tableColumn name="Fire_x000a_Dmg" id="14"/>
    <tableColumn name="Frost_x000a_Dmg" id="15"/>
    <tableColumn name="Shock_x000a_Dmg" id="16"/>
    <tableColumn name="Total_x000a_Dmg" id="17"/>
    <tableColumn name="Game_x000a_Dmg" id="18"/>
    <tableColumn name="Error" id="19"/>
    <tableColumn name="Total_x000a_Special" id="20"/>
    <tableColumn name="Game_x000a_Special" id="21"/>
    <tableColumn name="Special_x000a_Error" id="22"/>
  </tableColumns>
  <tableStyleInfo name="Staff-style 2" showColumnStripes="0" showFirstColumn="1" showLastColumn="1" showRowStripes="1"/>
</table>
</file>

<file path=xl/tables/table8.xml><?xml version="1.0" encoding="utf-8"?>
<table xmlns="http://schemas.openxmlformats.org/spreadsheetml/2006/main" ref="A2:I3" displayName="Bow_Bonuses" name="Bow_Bonuses" id="4">
  <tableColumns count="9">
    <tableColumn name="Stam/Dmg" id="1"/>
    <tableColumn name="Mag/Dmg" id="2"/>
    <tableColumn name="Special_x000a_Mult" id="3"/>
    <tableColumn name="Pe" id="4"/>
    <tableColumn name="Tr1" id="5"/>
    <tableColumn name="Tr2" id="6"/>
    <tableColumn name="Py" id="7"/>
    <tableColumn name="He" id="8"/>
    <tableColumn name="Vo" id="9"/>
  </tableColumns>
  <tableStyleInfo name="Bow-style" showColumnStripes="0" showFirstColumn="1" showLastColumn="1" showRowStripes="1"/>
</table>
</file>

<file path=xl/tables/table9.xml><?xml version="1.0" encoding="utf-8"?>
<table xmlns="http://schemas.openxmlformats.org/spreadsheetml/2006/main" ref="A6:Z32" displayName="Table2_2" name="Table2_2" id="7">
  <tableColumns count="26">
    <tableColumn name="Bow_x000a_Identifier" id="1"/>
    <tableColumn name="Special_x000a_Type" id="2"/>
    <tableColumn name="Traits" id="3"/>
    <tableColumn name="Stamina" id="4"/>
    <tableColumn name="Magicka" id="5"/>
    <tableColumn name="Weapon_x000a_Dmg" id="6"/>
    <tableColumn name="Fire %" id="7"/>
    <tableColumn name="Frost %" id="8"/>
    <tableColumn name="Shock %" id="9"/>
    <tableColumn name="Armor_x000a_Bonus" id="10"/>
    <tableColumn name="Dmg_x000a_Mult" id="11"/>
    <tableColumn name="Primary_x000a_Dmg" id="12"/>
    <tableColumn name="Stamina_x000a_Dmg" id="13"/>
    <tableColumn name="Fire_x000a_Dmg" id="14"/>
    <tableColumn name="Frost_x000a_Dmg" id="15"/>
    <tableColumn name="Shock_x000a_Dmg" id="16"/>
    <tableColumn name="Magicka_x000a_Dmg" id="17"/>
    <tableColumn name="Magicka_x000a_Fire" id="18"/>
    <tableColumn name="Magicka_x000a_Frost" id="19"/>
    <tableColumn name="Magicka_x000a_Shock" id="20"/>
    <tableColumn name="Total_x000a_Dmg" id="21"/>
    <tableColumn name="Game_x000a_Dmg" id="22"/>
    <tableColumn name="Error" id="23"/>
    <tableColumn name="2x_x000a_Special" id="24"/>
    <tableColumn name="Game_x000a_Special" id="25"/>
    <tableColumn name="Special_x000a_Error" id="26"/>
  </tableColumns>
  <tableStyleInfo name="Bow-style 2" showColumnStripes="0" showFirstColumn="1" showLastColumn="1" showRowStripes="1"/>
</table>
</file>

<file path=xl/tables/table10.xml><?xml version="1.0" encoding="utf-8"?>
<table xmlns="http://schemas.openxmlformats.org/spreadsheetml/2006/main" ref="A2:J3" displayName="Axe_Bonuses" name="Axe_Bonuses" id="10">
  <tableColumns count="10">
    <tableColumn name="Stam/Dmg" id="1"/>
    <tableColumn name="Mag/Dmg" id="2"/>
    <tableColumn name="Special_x000a_Mult" id="3"/>
    <tableColumn name="Mi" id="4"/>
    <tableColumn name="Re" id="5"/>
    <tableColumn name="Tr1" id="6"/>
    <tableColumn name="Tr2" id="7"/>
    <tableColumn name="Py" id="8"/>
    <tableColumn name="He" id="9"/>
    <tableColumn name="Vo" id="10"/>
  </tableColumns>
  <tableStyleInfo name="Axe-style" showColumnStripes="0" showFirstColumn="1" showLastColumn="1" showRowStripes="1"/>
</table>
</file>

<file path=xl/tables/table11.xml><?xml version="1.0" encoding="utf-8"?>
<table xmlns="http://schemas.openxmlformats.org/spreadsheetml/2006/main" ref="A6:Z32" displayName="Table2_3" name="Table2_3" id="11">
  <tableColumns count="26">
    <tableColumn name="Bow_x000a_Identifier" id="1"/>
    <tableColumn name="Special_x000a_Type" id="2"/>
    <tableColumn name="Traits" id="3"/>
    <tableColumn name="Stamina" id="4"/>
    <tableColumn name="Magicka" id="5"/>
    <tableColumn name="Weapon_x000a_Dmg" id="6"/>
    <tableColumn name="Fire %" id="7"/>
    <tableColumn name="Frost %" id="8"/>
    <tableColumn name="Shock %" id="9"/>
    <tableColumn name="Armor_x000a_Bonus" id="10"/>
    <tableColumn name="Dmg_x000a_Mult" id="11"/>
    <tableColumn name="Primary_x000a_Dmg" id="12"/>
    <tableColumn name="Stamina_x000a_Dmg" id="13"/>
    <tableColumn name="Fire_x000a_Dmg" id="14"/>
    <tableColumn name="Frost_x000a_Dmg" id="15"/>
    <tableColumn name="Shock_x000a_Dmg" id="16"/>
    <tableColumn name="Magicka_x000a_Dmg" id="17"/>
    <tableColumn name="Magicka_x000a_Fire" id="18"/>
    <tableColumn name="Magicka_x000a_Frost" id="19"/>
    <tableColumn name="Magicka_x000a_Shock" id="20"/>
    <tableColumn name="Total_x000a_Dmg" id="21"/>
    <tableColumn name="Game_x000a_Dmg" id="22"/>
    <tableColumn name="Error" id="23"/>
    <tableColumn name="Total_x000a_Special" id="24"/>
    <tableColumn name="Game_x000a_Special" id="25"/>
    <tableColumn name="Special_x000a_Error" id="26"/>
  </tableColumns>
  <tableStyleInfo name="Axe-style 2" showColumnStripes="0" showFirstColumn="1" showLastColumn="1" showRowStripes="1"/>
</table>
</file>

<file path=xl/tables/table12.xml><?xml version="1.0" encoding="utf-8"?>
<table xmlns="http://schemas.openxmlformats.org/spreadsheetml/2006/main" ref="A2:J3" displayName="Sword_Bonuses" name="Sword_Bonuses" id="12">
  <tableColumns count="10">
    <tableColumn name="Stam/Dmg" id="1"/>
    <tableColumn name="Mag/Dmg" id="2"/>
    <tableColumn name="Special_x000a_Mult" id="3"/>
    <tableColumn name="Mi" id="4"/>
    <tableColumn name="Re" id="5"/>
    <tableColumn name="Tr1" id="6"/>
    <tableColumn name="Tr2" id="7"/>
    <tableColumn name="Py" id="8"/>
    <tableColumn name="He" id="9"/>
    <tableColumn name="Vo" id="10"/>
  </tableColumns>
  <tableStyleInfo name="Sword-style" showColumnStripes="0" showFirstColumn="1" showLastColumn="1" showRowStripes="1"/>
</table>
</file>

<file path=xl/tables/table13.xml><?xml version="1.0" encoding="utf-8"?>
<table xmlns="http://schemas.openxmlformats.org/spreadsheetml/2006/main" ref="A6:Z35" displayName="Table2_4" name="Table2_4" id="13">
  <tableColumns count="26">
    <tableColumn name="Sword_x000a_Identifier" id="1"/>
    <tableColumn name="Special_x000a_Type" id="2"/>
    <tableColumn name="Traits" id="3"/>
    <tableColumn name="Stamina" id="4"/>
    <tableColumn name="Magicka" id="5"/>
    <tableColumn name="Weapon_x000a_Dmg" id="6"/>
    <tableColumn name="Fire %" id="7"/>
    <tableColumn name="Frost %" id="8"/>
    <tableColumn name="Shock %" id="9"/>
    <tableColumn name="Armor_x000a_Bonus" id="10"/>
    <tableColumn name="Dmg_x000a_Mult" id="11"/>
    <tableColumn name="Primary_x000a_Dmg" id="12"/>
    <tableColumn name="Stamina_x000a_Dmg" id="13"/>
    <tableColumn name="Fire_x000a_Dmg" id="14"/>
    <tableColumn name="Frost_x000a_Dmg" id="15"/>
    <tableColumn name="Shock_x000a_Dmg" id="16"/>
    <tableColumn name="Magicka_x000a_Dmg" id="17"/>
    <tableColumn name="Magicka_x000a_Fire" id="18"/>
    <tableColumn name="Magicka_x000a_Frost" id="19"/>
    <tableColumn name="Magicka_x000a_Shock" id="20"/>
    <tableColumn name="Total_x000a_Dmg" id="21"/>
    <tableColumn name="Game_x000a_Dmg" id="22"/>
    <tableColumn name="Error" id="23"/>
    <tableColumn name="Total_x000a_Special" id="24"/>
    <tableColumn name="Game_x000a_Special" id="25"/>
    <tableColumn name="Special_x000a_Error" id="26"/>
  </tableColumns>
  <tableStyleInfo name="Sword-style 2" showColumnStripes="0" showFirstColumn="1" showLastColumn="1" showRowStripes="1"/>
</table>
</file>

<file path=xl/tables/table14.xml><?xml version="1.0" encoding="utf-8"?>
<table xmlns="http://schemas.openxmlformats.org/spreadsheetml/2006/main" ref="A2:K3" displayName="Dagger_Bonuses" name="Dagger_Bonuses" id="14">
  <tableColumns count="11">
    <tableColumn name="Stam/Dmg" id="1"/>
    <tableColumn name="Mag/Dmg" id="2"/>
    <tableColumn name="Special_x000a_Mult" id="3"/>
    <tableColumn name="De" id="4"/>
    <tableColumn name="Mi" id="5"/>
    <tableColumn name="Re" id="6"/>
    <tableColumn name="Tr1" id="7"/>
    <tableColumn name="Tr2" id="8"/>
    <tableColumn name="Py" id="9"/>
    <tableColumn name="He" id="10"/>
    <tableColumn name="Vo" id="11"/>
  </tableColumns>
  <tableStyleInfo name="Dagger-style" showColumnStripes="0" showFirstColumn="1" showLastColumn="1" showRowStripes="1"/>
</table>
</file>

<file path=xl/tables/table15.xml><?xml version="1.0" encoding="utf-8"?>
<table xmlns="http://schemas.openxmlformats.org/spreadsheetml/2006/main" ref="A6:Z30" displayName="Table2_5" name="Table2_5" id="15">
  <tableColumns count="26">
    <tableColumn name="Dagger_x000a_Identifier" id="1"/>
    <tableColumn name="Special_x000a_Type" id="2"/>
    <tableColumn name="Traits" id="3"/>
    <tableColumn name="Stamina" id="4"/>
    <tableColumn name="Magicka" id="5"/>
    <tableColumn name="Weapon_x000a_Dmg" id="6"/>
    <tableColumn name="Fire %" id="7"/>
    <tableColumn name="Frost %" id="8"/>
    <tableColumn name="Shock %" id="9"/>
    <tableColumn name="Armor_x000a_Bonus" id="10"/>
    <tableColumn name="Dmg_x000a_Mult" id="11"/>
    <tableColumn name="Primary_x000a_Dmg" id="12"/>
    <tableColumn name="Stamina_x000a_Dmg" id="13"/>
    <tableColumn name="Fire_x000a_Dmg" id="14"/>
    <tableColumn name="Frost_x000a_Dmg" id="15"/>
    <tableColumn name="Shock_x000a_Dmg" id="16"/>
    <tableColumn name="Magicka_x000a_Dmg" id="17"/>
    <tableColumn name="Magicka_x000a_Fire" id="18"/>
    <tableColumn name="Magicka_x000a_Frost" id="19"/>
    <tableColumn name="Magicka_x000a_Shock" id="20"/>
    <tableColumn name="Total_x000a_Dmg" id="21"/>
    <tableColumn name="Game_x000a_Dmg" id="22"/>
    <tableColumn name="Error" id="23"/>
    <tableColumn name="Total_x000a_Special" id="24"/>
    <tableColumn name="Game_x000a_Special" id="25"/>
    <tableColumn name="Special_x000a_Error" id="26"/>
  </tableColumns>
  <tableStyleInfo name="Dagge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9.5" customHeight="1">
      <c r="A2" s="5" t="s">
        <v>2</v>
      </c>
      <c r="B2" s="6"/>
      <c r="C2" s="6"/>
      <c r="D2" s="6"/>
      <c r="E2" s="6"/>
      <c r="F2" s="6"/>
      <c r="G2" s="6"/>
      <c r="H2" s="6"/>
      <c r="I2" s="6"/>
    </row>
    <row r="3" ht="19.5" customHeight="1">
      <c r="A3" s="5" t="s">
        <v>4</v>
      </c>
      <c r="B3" s="6"/>
      <c r="C3" s="6"/>
      <c r="D3" s="6"/>
      <c r="E3" s="6"/>
      <c r="F3" s="6"/>
      <c r="G3" s="6"/>
      <c r="H3" s="6"/>
      <c r="I3" s="6"/>
    </row>
    <row r="4" ht="19.5" customHeight="1">
      <c r="A4" s="5" t="s">
        <v>6</v>
      </c>
      <c r="B4" s="6"/>
      <c r="C4" s="6"/>
      <c r="D4" s="6"/>
      <c r="E4" s="6"/>
      <c r="F4" s="6"/>
      <c r="G4" s="6"/>
      <c r="H4" s="6"/>
      <c r="I4" s="6"/>
    </row>
    <row r="5" ht="19.5" customHeight="1">
      <c r="A5" s="5" t="s">
        <v>8</v>
      </c>
      <c r="B5" s="6"/>
      <c r="C5" s="6"/>
      <c r="D5" s="6"/>
      <c r="E5" s="6"/>
      <c r="F5" s="6"/>
      <c r="G5" s="6"/>
      <c r="H5" s="6"/>
      <c r="I5" s="6"/>
    </row>
    <row r="6" ht="19.5" customHeight="1">
      <c r="A6" s="5" t="s">
        <v>9</v>
      </c>
      <c r="B6" s="6"/>
      <c r="C6" s="6"/>
      <c r="D6" s="6"/>
      <c r="E6" s="6"/>
      <c r="F6" s="6"/>
      <c r="G6" s="6"/>
      <c r="H6" s="6"/>
      <c r="I6" s="6"/>
    </row>
    <row r="7" ht="19.5" customHeight="1">
      <c r="A7" s="5" t="s">
        <v>11</v>
      </c>
      <c r="B7" s="6"/>
      <c r="C7" s="6"/>
      <c r="D7" s="6"/>
      <c r="E7" s="6"/>
      <c r="F7" s="6"/>
      <c r="G7" s="6"/>
      <c r="H7" s="6"/>
      <c r="I7" s="6"/>
    </row>
    <row r="8" ht="19.5" customHeight="1">
      <c r="A8" s="11" t="s">
        <v>14</v>
      </c>
      <c r="B8" s="12"/>
      <c r="C8" s="12"/>
      <c r="D8" s="12"/>
      <c r="E8" s="12"/>
      <c r="F8" s="12"/>
      <c r="G8" s="12"/>
      <c r="H8" s="12"/>
      <c r="I8" s="12"/>
    </row>
    <row r="9" ht="19.5" customHeight="1"/>
    <row r="10" ht="19.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"/>
      <c r="B1" s="4"/>
      <c r="C1" s="4"/>
      <c r="D1" s="4"/>
      <c r="E1" s="4"/>
      <c r="F1" s="4"/>
      <c r="G1" s="4"/>
      <c r="H1" s="4"/>
    </row>
    <row r="2">
      <c r="A2" s="4"/>
      <c r="B2" s="4"/>
      <c r="C2" s="4"/>
      <c r="D2" s="4"/>
      <c r="E2" s="4"/>
      <c r="F2" s="4"/>
      <c r="G2" s="4"/>
      <c r="H2" s="4"/>
    </row>
    <row r="3" ht="22.5" customHeight="1">
      <c r="A3" s="10" t="s">
        <v>5</v>
      </c>
      <c r="B3" s="10" t="s">
        <v>12</v>
      </c>
      <c r="C3" s="10" t="s">
        <v>16</v>
      </c>
      <c r="D3" s="10" t="s">
        <v>17</v>
      </c>
      <c r="E3" s="10" t="s">
        <v>19</v>
      </c>
      <c r="F3" s="10" t="s">
        <v>21</v>
      </c>
      <c r="G3" s="4"/>
      <c r="H3" s="4"/>
    </row>
    <row r="4" ht="22.5" customHeight="1">
      <c r="A4" s="15" t="s">
        <v>24</v>
      </c>
      <c r="B4" s="15">
        <v>37.0</v>
      </c>
      <c r="C4" s="15">
        <v>41.0</v>
      </c>
      <c r="D4" s="15">
        <v>42.0</v>
      </c>
      <c r="E4" s="15">
        <v>43.0</v>
      </c>
      <c r="F4" s="15">
        <v>64.0</v>
      </c>
      <c r="G4" s="4"/>
      <c r="H4" s="4"/>
    </row>
    <row r="5" ht="22.5" customHeight="1">
      <c r="A5" s="15" t="s">
        <v>26</v>
      </c>
      <c r="B5" s="15">
        <f>(129-37)/23</f>
        <v>4</v>
      </c>
      <c r="C5" s="15">
        <f>(133-41)/23</f>
        <v>4</v>
      </c>
      <c r="D5" s="15">
        <f>(158 - 42) / 29</f>
        <v>4</v>
      </c>
      <c r="E5" s="15">
        <v>4.0</v>
      </c>
      <c r="F5" s="15">
        <v>9.1</v>
      </c>
      <c r="G5" s="4"/>
      <c r="H5" s="4"/>
    </row>
    <row r="6" ht="22.5" customHeight="1">
      <c r="A6" s="16" t="s">
        <v>44</v>
      </c>
      <c r="B6" s="15">
        <v>143.0</v>
      </c>
      <c r="C6" s="15">
        <v>111.0</v>
      </c>
      <c r="D6" s="15">
        <v>111.0</v>
      </c>
      <c r="E6" s="15">
        <v>127.0</v>
      </c>
      <c r="F6" s="15">
        <v>95.0</v>
      </c>
      <c r="G6" s="4"/>
      <c r="H6" s="4"/>
    </row>
    <row r="7" ht="22.5" customHeight="1">
      <c r="A7" s="16" t="s">
        <v>49</v>
      </c>
      <c r="B7" s="15">
        <v>12.6</v>
      </c>
      <c r="C7" s="15">
        <v>9.8</v>
      </c>
      <c r="D7" s="15">
        <v>9.8</v>
      </c>
      <c r="E7" s="15">
        <v>11.2</v>
      </c>
      <c r="F7" s="15">
        <v>8.4</v>
      </c>
      <c r="G7" s="4"/>
      <c r="H7" s="4"/>
    </row>
    <row r="8" ht="22.5" customHeight="1">
      <c r="A8" s="15" t="s">
        <v>55</v>
      </c>
      <c r="B8" s="15">
        <v>150.0</v>
      </c>
      <c r="C8" s="15">
        <v>117.0</v>
      </c>
      <c r="D8" s="15">
        <v>117.0</v>
      </c>
      <c r="E8" s="15">
        <v>133.0</v>
      </c>
      <c r="F8" s="15">
        <v>100.0</v>
      </c>
      <c r="G8" s="4"/>
      <c r="H8" s="4"/>
    </row>
    <row r="9" ht="22.5" customHeight="1">
      <c r="A9" s="15" t="s">
        <v>63</v>
      </c>
      <c r="B9" s="15">
        <v>12.6</v>
      </c>
      <c r="C9" s="15">
        <v>9.8</v>
      </c>
      <c r="D9" s="15">
        <v>9.8</v>
      </c>
      <c r="E9" s="15">
        <f>(413-133)/25</f>
        <v>11.2</v>
      </c>
      <c r="F9" s="15">
        <v>8.4</v>
      </c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 ht="22.5" customHeight="1">
      <c r="A12" s="10" t="s">
        <v>5</v>
      </c>
      <c r="B12" s="10" t="s">
        <v>69</v>
      </c>
      <c r="C12" s="10" t="s">
        <v>70</v>
      </c>
      <c r="D12" s="10" t="s">
        <v>71</v>
      </c>
      <c r="E12" s="10" t="s">
        <v>73</v>
      </c>
      <c r="F12" s="4"/>
      <c r="G12" s="4"/>
      <c r="H12" s="4"/>
    </row>
    <row r="13" ht="22.5" customHeight="1">
      <c r="A13" s="15" t="s">
        <v>74</v>
      </c>
      <c r="B13" s="15">
        <v>44.0</v>
      </c>
      <c r="C13" s="15">
        <v>59.0</v>
      </c>
      <c r="D13" s="15">
        <v>71.0</v>
      </c>
      <c r="E13" s="16">
        <v>85.0</v>
      </c>
      <c r="F13" s="4"/>
      <c r="G13" s="4"/>
      <c r="H13" s="4"/>
    </row>
    <row r="14" ht="22.5" customHeight="1">
      <c r="A14" s="15" t="s">
        <v>76</v>
      </c>
      <c r="B14" s="15">
        <v>4.5</v>
      </c>
      <c r="C14" s="15">
        <f>(424-59)/73</f>
        <v>5</v>
      </c>
      <c r="D14" s="15">
        <f>(191-71)/20</f>
        <v>6</v>
      </c>
      <c r="E14" s="16">
        <v>8.0</v>
      </c>
      <c r="F14" s="4"/>
      <c r="G14" s="4"/>
      <c r="H14" s="4"/>
    </row>
    <row r="15" ht="22.5" customHeight="1">
      <c r="A15" s="16" t="s">
        <v>44</v>
      </c>
      <c r="B15" s="15">
        <v>136.0</v>
      </c>
      <c r="C15" s="15">
        <v>147.0</v>
      </c>
      <c r="D15" s="15">
        <v>118.0</v>
      </c>
      <c r="E15" s="16">
        <v>0.0</v>
      </c>
      <c r="F15" s="4"/>
      <c r="G15" s="4"/>
      <c r="H15" s="4"/>
    </row>
    <row r="16" ht="22.5" customHeight="1">
      <c r="A16" s="16" t="s">
        <v>49</v>
      </c>
      <c r="B16" s="15">
        <f>(272-136)/17</f>
        <v>8</v>
      </c>
      <c r="C16" s="15">
        <f>(731-147)/73</f>
        <v>8</v>
      </c>
      <c r="D16" s="15">
        <f>(278-118)/20</f>
        <v>8</v>
      </c>
      <c r="E16" s="16">
        <v>0.0</v>
      </c>
      <c r="F16" s="4"/>
      <c r="G16" s="4"/>
      <c r="H16" s="4"/>
    </row>
    <row r="17" ht="22.5" customHeight="1">
      <c r="A17" s="15" t="s">
        <v>77</v>
      </c>
      <c r="B17" s="15">
        <v>158.0</v>
      </c>
      <c r="C17" s="15">
        <v>148.0</v>
      </c>
      <c r="D17" s="15">
        <v>139.0</v>
      </c>
      <c r="E17" s="16">
        <v>105.0</v>
      </c>
      <c r="F17" s="4"/>
      <c r="G17" s="4"/>
      <c r="H17" s="4"/>
    </row>
    <row r="18" ht="22.5" customHeight="1">
      <c r="A18" s="15" t="s">
        <v>78</v>
      </c>
      <c r="B18" s="15">
        <f>(310-158)/19</f>
        <v>8</v>
      </c>
      <c r="C18" s="15">
        <v>8.5</v>
      </c>
      <c r="D18" s="15">
        <f>(299-139)/20</f>
        <v>8</v>
      </c>
      <c r="E18" s="16">
        <v>14.0</v>
      </c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8"/>
      <c r="B20" s="48"/>
      <c r="C20" s="4"/>
      <c r="D20" s="4"/>
      <c r="E20" s="4"/>
      <c r="F20" s="4"/>
      <c r="G20" s="4"/>
      <c r="H20" s="4"/>
    </row>
    <row r="21" ht="22.5" customHeight="1">
      <c r="A21" s="51" t="s">
        <v>80</v>
      </c>
      <c r="B21" s="52" t="s">
        <v>81</v>
      </c>
      <c r="C21" s="51" t="s">
        <v>82</v>
      </c>
      <c r="D21" s="4"/>
      <c r="E21" s="4"/>
      <c r="F21" s="4"/>
      <c r="G21" s="4"/>
      <c r="H21" s="4"/>
    </row>
    <row r="22" ht="22.5" customHeight="1">
      <c r="A22" s="54" t="s">
        <v>83</v>
      </c>
      <c r="B22" s="54">
        <v>1.0</v>
      </c>
      <c r="C22" s="54">
        <v>0.0</v>
      </c>
      <c r="D22" s="4"/>
      <c r="E22" s="4"/>
      <c r="F22" s="4"/>
      <c r="G22" s="4"/>
      <c r="H22" s="4"/>
    </row>
    <row r="23" ht="22.5" customHeight="1">
      <c r="A23" s="54" t="s">
        <v>84</v>
      </c>
      <c r="B23" s="54">
        <v>2.0</v>
      </c>
      <c r="C23" s="54">
        <v>1.0</v>
      </c>
      <c r="D23" s="4"/>
      <c r="E23" s="4"/>
      <c r="F23" s="4"/>
      <c r="G23" s="4"/>
      <c r="H23" s="4"/>
    </row>
    <row r="24" ht="22.5" customHeight="1">
      <c r="A24" s="54" t="s">
        <v>85</v>
      </c>
      <c r="B24" s="54">
        <v>3.0</v>
      </c>
      <c r="C24" s="54">
        <v>2.0</v>
      </c>
      <c r="D24" s="4"/>
      <c r="E24" s="4"/>
      <c r="F24" s="4"/>
      <c r="G24" s="4"/>
      <c r="H24" s="4"/>
    </row>
    <row r="25" ht="22.5" customHeight="1">
      <c r="A25" s="54" t="s">
        <v>86</v>
      </c>
      <c r="B25" s="54">
        <v>4.0</v>
      </c>
      <c r="C25" s="54">
        <v>4.0</v>
      </c>
      <c r="D25" s="4"/>
      <c r="E25" s="4"/>
      <c r="F25" s="4"/>
      <c r="G25" s="4"/>
      <c r="H25" s="4"/>
    </row>
    <row r="26">
      <c r="A26" s="59" t="s">
        <v>87</v>
      </c>
      <c r="B26" s="48"/>
      <c r="C26" s="4"/>
      <c r="D26" s="4"/>
      <c r="E26" s="4"/>
      <c r="F26" s="4"/>
      <c r="G26" s="4"/>
      <c r="H26" s="4"/>
    </row>
    <row r="27">
      <c r="A27" s="60"/>
      <c r="B27" s="48"/>
      <c r="C27" s="4"/>
      <c r="D27" s="4"/>
      <c r="E27" s="4"/>
      <c r="F27" s="4"/>
      <c r="G27" s="4"/>
      <c r="H27" s="4"/>
    </row>
    <row r="28">
      <c r="A28" s="60"/>
      <c r="B28" s="48"/>
      <c r="C28" s="4"/>
      <c r="D28" s="4"/>
      <c r="E28" s="4"/>
      <c r="F28" s="4"/>
      <c r="G28" s="4"/>
      <c r="H28" s="4"/>
    </row>
    <row r="29" ht="22.5" customHeight="1">
      <c r="A29" s="51" t="s">
        <v>80</v>
      </c>
      <c r="B29" s="52" t="s">
        <v>88</v>
      </c>
      <c r="C29" s="51" t="s">
        <v>89</v>
      </c>
      <c r="D29" s="4"/>
      <c r="E29" s="4"/>
      <c r="F29" s="4"/>
      <c r="G29" s="4"/>
      <c r="H29" s="4"/>
    </row>
    <row r="30" ht="22.5" customHeight="1">
      <c r="A30" s="54" t="s">
        <v>84</v>
      </c>
      <c r="B30" s="61">
        <v>0.1</v>
      </c>
      <c r="C30" s="62" t="s">
        <v>90</v>
      </c>
      <c r="D30" s="4"/>
      <c r="E30" s="4"/>
      <c r="F30" s="4"/>
      <c r="G30" s="4"/>
      <c r="H30" s="4"/>
    </row>
    <row r="31" ht="22.5" customHeight="1">
      <c r="A31" s="54" t="s">
        <v>85</v>
      </c>
      <c r="B31" s="61">
        <v>0.15</v>
      </c>
      <c r="C31" s="61">
        <v>0.15</v>
      </c>
      <c r="D31" s="4"/>
      <c r="E31" s="4"/>
      <c r="F31" s="4"/>
      <c r="G31" s="4"/>
      <c r="H31" s="4"/>
    </row>
    <row r="32" ht="22.5" customHeight="1">
      <c r="A32" s="54" t="s">
        <v>86</v>
      </c>
      <c r="B32" s="61">
        <v>0.2</v>
      </c>
      <c r="C32" s="61">
        <v>0.24</v>
      </c>
      <c r="D32" s="4"/>
      <c r="E32" s="4"/>
      <c r="F32" s="4"/>
      <c r="G32" s="4"/>
      <c r="H32" s="4"/>
    </row>
  </sheetData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1.13"/>
    <col customWidth="1" min="2" max="22" width="10.63"/>
  </cols>
  <sheetData>
    <row r="1">
      <c r="B1" s="3"/>
      <c r="C1" s="3" t="s">
        <v>1</v>
      </c>
      <c r="F1" s="3" t="s">
        <v>3</v>
      </c>
      <c r="J1" s="7"/>
      <c r="K1" s="7"/>
      <c r="L1" s="7"/>
      <c r="M1" s="7"/>
    </row>
    <row r="2" ht="22.5" customHeight="1">
      <c r="A2" s="9" t="s">
        <v>7</v>
      </c>
      <c r="B2" s="9" t="s">
        <v>13</v>
      </c>
      <c r="C2" s="14" t="s">
        <v>15</v>
      </c>
      <c r="D2" s="9" t="s">
        <v>18</v>
      </c>
      <c r="E2" s="9" t="s">
        <v>20</v>
      </c>
      <c r="F2" s="14" t="s">
        <v>22</v>
      </c>
      <c r="G2" s="9" t="s">
        <v>23</v>
      </c>
      <c r="H2" s="9" t="s">
        <v>25</v>
      </c>
      <c r="K2" s="7"/>
      <c r="L2" s="7"/>
      <c r="M2" s="7"/>
      <c r="N2" s="7"/>
    </row>
    <row r="3" ht="22.5" customHeight="1">
      <c r="A3" s="15">
        <v>65.0</v>
      </c>
      <c r="B3" s="16">
        <v>1.5</v>
      </c>
      <c r="C3" s="17">
        <v>0.1</v>
      </c>
      <c r="D3" s="15">
        <v>0.1</v>
      </c>
      <c r="E3" s="15">
        <v>0.2</v>
      </c>
      <c r="F3" s="17">
        <v>0.2</v>
      </c>
      <c r="G3" s="15">
        <v>0.2</v>
      </c>
      <c r="H3" s="15">
        <v>0.2</v>
      </c>
      <c r="K3" s="7"/>
      <c r="L3" s="7"/>
      <c r="M3" s="7"/>
      <c r="N3" s="7"/>
    </row>
    <row r="4">
      <c r="J4" s="7"/>
      <c r="K4" s="7"/>
      <c r="L4" s="7"/>
      <c r="M4" s="7"/>
    </row>
    <row r="5">
      <c r="A5" s="19" t="s">
        <v>27</v>
      </c>
      <c r="K5" s="20" t="s">
        <v>28</v>
      </c>
      <c r="Q5" s="20" t="s">
        <v>29</v>
      </c>
      <c r="T5" s="20" t="s">
        <v>30</v>
      </c>
    </row>
    <row r="6" ht="22.5" customHeight="1">
      <c r="A6" s="9" t="s">
        <v>31</v>
      </c>
      <c r="B6" s="21" t="s">
        <v>32</v>
      </c>
      <c r="C6" s="21" t="s">
        <v>33</v>
      </c>
      <c r="D6" s="21" t="s">
        <v>34</v>
      </c>
      <c r="E6" s="9" t="s">
        <v>36</v>
      </c>
      <c r="F6" s="9" t="s">
        <v>38</v>
      </c>
      <c r="G6" s="22" t="s">
        <v>39</v>
      </c>
      <c r="H6" s="22" t="s">
        <v>41</v>
      </c>
      <c r="I6" s="22" t="s">
        <v>42</v>
      </c>
      <c r="J6" s="23" t="s">
        <v>43</v>
      </c>
      <c r="K6" s="24" t="s">
        <v>46</v>
      </c>
      <c r="L6" s="9" t="s">
        <v>47</v>
      </c>
      <c r="M6" s="9" t="s">
        <v>48</v>
      </c>
      <c r="N6" s="9" t="s">
        <v>50</v>
      </c>
      <c r="O6" s="9" t="s">
        <v>51</v>
      </c>
      <c r="P6" s="25" t="s">
        <v>52</v>
      </c>
      <c r="Q6" s="14" t="s">
        <v>53</v>
      </c>
      <c r="R6" s="9" t="s">
        <v>54</v>
      </c>
      <c r="S6" s="25" t="s">
        <v>57</v>
      </c>
      <c r="T6" s="14" t="s">
        <v>59</v>
      </c>
      <c r="U6" s="9" t="s">
        <v>60</v>
      </c>
      <c r="V6" s="9" t="s">
        <v>62</v>
      </c>
    </row>
    <row r="7" ht="22.5" customHeight="1">
      <c r="A7" s="27" t="s">
        <v>64</v>
      </c>
      <c r="B7" s="27" t="s">
        <v>22</v>
      </c>
      <c r="C7" s="28" t="s">
        <v>22</v>
      </c>
      <c r="D7" s="27" t="s">
        <v>65</v>
      </c>
      <c r="E7" s="29">
        <v>1487.0</v>
      </c>
      <c r="F7" s="30">
        <v>257.0</v>
      </c>
      <c r="G7" s="31">
        <v>0.08</v>
      </c>
      <c r="H7" s="33">
        <v>0.08</v>
      </c>
      <c r="I7" s="33">
        <v>0.08</v>
      </c>
      <c r="J7" s="34">
        <v>0.25</v>
      </c>
      <c r="K7" s="43">
        <f>IFERROR(__xludf.DUMMYFUNCTION("1 + J7 + IF(REGEXMATCH(D7, Staff_Bonuses[[#HEADERS],[Pe]]), Staff_Bonuses[Pe]) + IF(REGEXMATCH(D7, Staff_Bonuses[[#HEADERS],[Tr1]]), Staff_Bonuses[Tr1], 0) + IF(REGEXMATCH(D7, Staff_Bonuses[[#HEADERS],[Tr2]]), Staff_Bonuses[Tr2], 0) + IF(REGEXMATCH(D7, B7"&amp;"), IF(REGEXMATCH(D7, Staff_Bonuses[[#HEADERS],[Py]]), Staff_Bonuses[Py], 0) + IF(REGEXMATCH(D7, Staff_Bonuses[[#HEADERS],[He]]), Staff_Bonuses[He], 0) + IF(REGEXMATCH(D7, Staff_Bonuses[[#HEADERS],[Vo]]), Staff_Bonuses[Vo], 0))"),1.55)</f>
        <v>1.55</v>
      </c>
      <c r="L7" s="44">
        <f>$K7 * E7 / Staff_Bonuses[Mag/Dmg]</f>
        <v>35.45923077</v>
      </c>
      <c r="M7" s="44">
        <f t="shared" ref="M7:M40" si="1">F7*K7</f>
        <v>398.35</v>
      </c>
      <c r="N7" s="44">
        <f>IFERROR(__xludf.DUMMYFUNCTION("IF(G7&gt;0, ($L7+$M7) * G7 * ($K7 - IF(REGEXMATCH($D7, $B7), IF(REGEXMATCH($D7, Staff_Bonuses[[#HEADERS],[Py]]), Staff_Bonuses[Py],) + IF(REGEXMATCH($D7, Staff_Bonuses[[#HEADERS],[He]]), Staff_Bonuses[He],) + IF(REGEXMATCH($D7, Staff_Bonuses[[#HEADERS],[Vo]]"&amp;"), Staff_Bonuses[Vo],)) + IF(AND(REGEXMATCH($D7, $C7), REGEXMATCH($D7,Staff_Bonuses[[#HEADERS],[Py]])), Staff_Bonuses[Py],) ) / $K7, 0)"),34.70473846153846)</f>
        <v>34.70473846</v>
      </c>
      <c r="O7" s="44">
        <f>IFERROR(__xludf.DUMMYFUNCTION("IF(H7&gt;0, ($L7+$M7) * H7 * ($K7 - IF(REGEXMATCH($D7, $B7), IF(REGEXMATCH($D7, Staff_Bonuses[[#HEADERS],[Py]]), Staff_Bonuses[Py],) + IF(REGEXMATCH($D7, Staff_Bonuses[[#HEADERS],[He]]), Staff_Bonuses[He],) + IF(REGEXMATCH($D7, Staff_Bonuses[[#HEADERS],[Vo]]"&amp;"), Staff_Bonuses[Vo],)) + IF(AND(REGEXMATCH($D7, $C7), REGEXMATCH($D7,Staff_Bonuses[[#HEADERS],[He]])), Staff_Bonuses[He],) ) / $K7, 0)"),30.226707692307695)</f>
        <v>30.22670769</v>
      </c>
      <c r="P7" s="63">
        <f>IFERROR(__xludf.DUMMYFUNCTION("IF(I7&gt;0, ($L7+$M7) * I7 * ($K7 - IF(REGEXMATCH($D7, $B7), IF(REGEXMATCH($D7, Staff_Bonuses[[#HEADERS],[Py]]), Staff_Bonuses[Py],) + IF(REGEXMATCH($D7, Staff_Bonuses[[#HEADERS],[He]]), Staff_Bonuses[He],) + IF(REGEXMATCH($D7, Staff_Bonuses[[#HEADERS],[Vo]]"&amp;"), Staff_Bonuses[Vo],)) + IF(AND(REGEXMATCH($D7, $C7), REGEXMATCH($D7,Staff_Bonuses[[#HEADERS],[Vo]])), Staff_Bonuses[Vo],) ) / $K7, 0)"),30.226707692307695)</f>
        <v>30.22670769</v>
      </c>
      <c r="Q7" s="64">
        <f t="shared" ref="Q7:Q10" si="2">SUM(L7:P7)</f>
        <v>528.9673846</v>
      </c>
      <c r="R7" s="65">
        <v>530.0</v>
      </c>
      <c r="S7" s="69">
        <f t="shared" ref="S7:S40" si="3">IF(AND(Q7&gt;0,R7&gt;0), ABS(R7-Q7)/R7, )</f>
        <v>0.001948330914</v>
      </c>
      <c r="T7" s="71">
        <f>Q7 * Staff_Bonuses[Special
Mult]</f>
        <v>793.4510769</v>
      </c>
      <c r="U7" s="55">
        <v>794.0</v>
      </c>
      <c r="V7" s="72">
        <f t="shared" ref="V7:V40" si="4">IF(AND(T7&gt;0,U7&gt;0), ABS(U7-T7)/U7, )</f>
        <v>0.0006913388878</v>
      </c>
    </row>
    <row r="8" ht="22.5" customHeight="1">
      <c r="A8" s="27" t="s">
        <v>64</v>
      </c>
      <c r="B8" s="28" t="s">
        <v>22</v>
      </c>
      <c r="C8" s="28" t="s">
        <v>22</v>
      </c>
      <c r="D8" s="27" t="s">
        <v>91</v>
      </c>
      <c r="E8" s="29">
        <v>1487.0</v>
      </c>
      <c r="F8" s="30">
        <v>257.0</v>
      </c>
      <c r="G8" s="31">
        <v>0.08</v>
      </c>
      <c r="H8" s="33">
        <v>0.08</v>
      </c>
      <c r="I8" s="33">
        <v>0.08</v>
      </c>
      <c r="J8" s="34">
        <v>0.25</v>
      </c>
      <c r="K8" s="43">
        <f>IFERROR(__xludf.DUMMYFUNCTION("1 + J8 + IF(REGEXMATCH(D8, Staff_Bonuses[[#HEADERS],[Pe]]), Staff_Bonuses[Pe]) + IF(REGEXMATCH(D8, Staff_Bonuses[[#HEADERS],[Tr1]]), Staff_Bonuses[Tr1], 0) + IF(REGEXMATCH(D8, Staff_Bonuses[[#HEADERS],[Tr2]]), Staff_Bonuses[Tr2], 0) + IF(REGEXMATCH(D8, B8"&amp;"), IF(REGEXMATCH(D8, Staff_Bonuses[[#HEADERS],[Py]]), Staff_Bonuses[Py], 0) + IF(REGEXMATCH(D8, Staff_Bonuses[[#HEADERS],[He]]), Staff_Bonuses[He], 0) + IF(REGEXMATCH(D8, Staff_Bonuses[[#HEADERS],[Vo]]), Staff_Bonuses[Vo], 0))"),1.65)</f>
        <v>1.65</v>
      </c>
      <c r="L8" s="44">
        <f>$K8 * E8 / Staff_Bonuses[Mag/Dmg]</f>
        <v>37.74692308</v>
      </c>
      <c r="M8" s="44">
        <f t="shared" si="1"/>
        <v>424.05</v>
      </c>
      <c r="N8" s="44">
        <f>IFERROR(__xludf.DUMMYFUNCTION("IF(G8&gt;0, ($L8+$M8) * G8 * ($K8 - IF(REGEXMATCH($D8, $B8), IF(REGEXMATCH($D8, Staff_Bonuses[[#HEADERS],[Py]]), Staff_Bonuses[Py],) + IF(REGEXMATCH($D8, Staff_Bonuses[[#HEADERS],[He]]), Staff_Bonuses[He],) + IF(REGEXMATCH($D8, Staff_Bonuses[[#HEADERS],[Vo]]"&amp;"), Staff_Bonuses[Vo],)) + IF(AND(REGEXMATCH($D8, $C8), REGEXMATCH($D8,Staff_Bonuses[[#HEADERS],[Py]])), Staff_Bonuses[Py],) ) / $K8, 0)"),36.94375384615384)</f>
        <v>36.94375385</v>
      </c>
      <c r="O8" s="44">
        <f>IFERROR(__xludf.DUMMYFUNCTION("IF(H8&gt;0, ($L8+$M8) * H8 * ($K8 - IF(REGEXMATCH($D8, $B8), IF(REGEXMATCH($D8, Staff_Bonuses[[#HEADERS],[Py]]), Staff_Bonuses[Py],) + IF(REGEXMATCH($D8, Staff_Bonuses[[#HEADERS],[He]]), Staff_Bonuses[He],) + IF(REGEXMATCH($D8, Staff_Bonuses[[#HEADERS],[Vo]]"&amp;"), Staff_Bonuses[Vo],)) + IF(AND(REGEXMATCH($D8, $C8), REGEXMATCH($D8,Staff_Bonuses[[#HEADERS],[He]])), Staff_Bonuses[He],) ) / $K8, 0)"),32.46572307692307)</f>
        <v>32.46572308</v>
      </c>
      <c r="P8" s="63">
        <f>IFERROR(__xludf.DUMMYFUNCTION("IF(I8&gt;0, ($L8+$M8) * I8 * ($K8 - IF(REGEXMATCH($D8, $B8), IF(REGEXMATCH($D8, Staff_Bonuses[[#HEADERS],[Py]]), Staff_Bonuses[Py],) + IF(REGEXMATCH($D8, Staff_Bonuses[[#HEADERS],[He]]), Staff_Bonuses[He],) + IF(REGEXMATCH($D8, Staff_Bonuses[[#HEADERS],[Vo]]"&amp;"), Staff_Bonuses[Vo],)) + IF(AND(REGEXMATCH($D8, $C8), REGEXMATCH($D8,Staff_Bonuses[[#HEADERS],[Vo]])), Staff_Bonuses[Vo],) ) / $K8, 0)"),32.46572307692307)</f>
        <v>32.46572308</v>
      </c>
      <c r="Q8" s="64">
        <f t="shared" si="2"/>
        <v>563.6721231</v>
      </c>
      <c r="R8" s="65">
        <v>564.0</v>
      </c>
      <c r="S8" s="69">
        <f t="shared" si="3"/>
        <v>0.0005813420622</v>
      </c>
      <c r="T8" s="71">
        <f>Q8 * Staff_Bonuses[Special
Mult]</f>
        <v>845.5081846</v>
      </c>
      <c r="U8" s="55">
        <v>845.0</v>
      </c>
      <c r="V8" s="72">
        <f t="shared" si="4"/>
        <v>0.0006014019117</v>
      </c>
    </row>
    <row r="9" ht="22.5" customHeight="1">
      <c r="A9" s="84" t="s">
        <v>64</v>
      </c>
      <c r="B9" s="85" t="s">
        <v>22</v>
      </c>
      <c r="C9" s="27" t="s">
        <v>22</v>
      </c>
      <c r="D9" s="27" t="s">
        <v>23</v>
      </c>
      <c r="E9" s="87">
        <v>1062.0</v>
      </c>
      <c r="F9" s="88">
        <v>257.0</v>
      </c>
      <c r="G9" s="89">
        <v>0.08</v>
      </c>
      <c r="H9" s="33">
        <v>0.08</v>
      </c>
      <c r="I9" s="33">
        <v>0.08</v>
      </c>
      <c r="J9" s="34">
        <v>0.0</v>
      </c>
      <c r="K9" s="90">
        <f>IFERROR(__xludf.DUMMYFUNCTION("1 + J9 + IF(REGEXMATCH(D9, Staff_Bonuses[[#HEADERS],[Pe]]), Staff_Bonuses[Pe]) + IF(REGEXMATCH(D9, Staff_Bonuses[[#HEADERS],[Tr1]]), Staff_Bonuses[Tr1], 0) + IF(REGEXMATCH(D9, Staff_Bonuses[[#HEADERS],[Tr2]]), Staff_Bonuses[Tr2], 0) + IF(REGEXMATCH(D9, B9"&amp;"), IF(REGEXMATCH(D9, Staff_Bonuses[[#HEADERS],[Py]]), Staff_Bonuses[Py], 0) + IF(REGEXMATCH(D9, Staff_Bonuses[[#HEADERS],[He]]), Staff_Bonuses[He], 0) + IF(REGEXMATCH(D9, Staff_Bonuses[[#HEADERS],[Vo]]), Staff_Bonuses[Vo], 0))"),1.0)</f>
        <v>1</v>
      </c>
      <c r="L9" s="44">
        <f>$K9 * E9 / Staff_Bonuses[Mag/Dmg]</f>
        <v>16.33846154</v>
      </c>
      <c r="M9" s="44">
        <f t="shared" si="1"/>
        <v>257</v>
      </c>
      <c r="N9" s="44">
        <f>IFERROR(__xludf.DUMMYFUNCTION("IF(G9&gt;0, ($L9+$M9) * G9 * ($K9 - IF(REGEXMATCH($D9, $B9), IF(REGEXMATCH($D9, Staff_Bonuses[[#HEADERS],[Py]]), Staff_Bonuses[Py],) + IF(REGEXMATCH($D9, Staff_Bonuses[[#HEADERS],[He]]), Staff_Bonuses[He],) + IF(REGEXMATCH($D9, Staff_Bonuses[[#HEADERS],[Vo]]"&amp;"), Staff_Bonuses[Vo],)) + IF(AND(REGEXMATCH($D9, $C9), REGEXMATCH($D9,Staff_Bonuses[[#HEADERS],[Py]])), Staff_Bonuses[Py],) ) / $K9, 0)"),21.867076923076926)</f>
        <v>21.86707692</v>
      </c>
      <c r="O9" s="44">
        <f>IFERROR(__xludf.DUMMYFUNCTION("IF(H9&gt;0, ($L9+$M9) * H9 * ($K9 - IF(REGEXMATCH($D9, $B9), IF(REGEXMATCH($D9, Staff_Bonuses[[#HEADERS],[Py]]), Staff_Bonuses[Py],) + IF(REGEXMATCH($D9, Staff_Bonuses[[#HEADERS],[He]]), Staff_Bonuses[He],) + IF(REGEXMATCH($D9, Staff_Bonuses[[#HEADERS],[Vo]]"&amp;"), Staff_Bonuses[Vo],)) + IF(AND(REGEXMATCH($D9, $C9), REGEXMATCH($D9,Staff_Bonuses[[#HEADERS],[He]])), Staff_Bonuses[He],) ) / $K9, 0)"),21.867076923076926)</f>
        <v>21.86707692</v>
      </c>
      <c r="P9" s="63">
        <f>IFERROR(__xludf.DUMMYFUNCTION("IF(I9&gt;0, ($L9+$M9) * I9 * ($K9 - IF(REGEXMATCH($D9, $B9), IF(REGEXMATCH($D9, Staff_Bonuses[[#HEADERS],[Py]]), Staff_Bonuses[Py],) + IF(REGEXMATCH($D9, Staff_Bonuses[[#HEADERS],[He]]), Staff_Bonuses[He],) + IF(REGEXMATCH($D9, Staff_Bonuses[[#HEADERS],[Vo]]"&amp;"), Staff_Bonuses[Vo],)) + IF(AND(REGEXMATCH($D9, $C9), REGEXMATCH($D9,Staff_Bonuses[[#HEADERS],[Vo]])), Staff_Bonuses[Vo],) ) / $K9, 0)"),21.867076923076926)</f>
        <v>21.86707692</v>
      </c>
      <c r="Q9" s="92">
        <f t="shared" si="2"/>
        <v>338.9396923</v>
      </c>
      <c r="R9" s="87">
        <v>339.0</v>
      </c>
      <c r="S9" s="69">
        <f t="shared" si="3"/>
        <v>0.0001778987974</v>
      </c>
      <c r="T9" s="93">
        <f>Q9 * Staff_Bonuses[Special
Mult]</f>
        <v>508.4095385</v>
      </c>
      <c r="U9" s="55">
        <v>509.0</v>
      </c>
      <c r="V9" s="72">
        <f t="shared" si="4"/>
        <v>0.001160042315</v>
      </c>
    </row>
    <row r="10" ht="22.5" customHeight="1">
      <c r="A10" s="84" t="s">
        <v>64</v>
      </c>
      <c r="B10" s="85" t="s">
        <v>22</v>
      </c>
      <c r="C10" s="27" t="s">
        <v>22</v>
      </c>
      <c r="D10" s="27" t="s">
        <v>22</v>
      </c>
      <c r="E10" s="87">
        <v>1074.0</v>
      </c>
      <c r="F10" s="88">
        <v>257.0</v>
      </c>
      <c r="G10" s="89">
        <v>0.08</v>
      </c>
      <c r="H10" s="33">
        <v>0.08</v>
      </c>
      <c r="I10" s="33">
        <v>0.08</v>
      </c>
      <c r="J10" s="34">
        <v>0.0</v>
      </c>
      <c r="K10" s="90">
        <f>IFERROR(__xludf.DUMMYFUNCTION("1 + J10 + IF(REGEXMATCH(D10, Staff_Bonuses[[#HEADERS],[Pe]]), Staff_Bonuses[Pe]) + IF(REGEXMATCH(D10, Staff_Bonuses[[#HEADERS],[Tr1]]), Staff_Bonuses[Tr1], 0) + IF(REGEXMATCH(D10, Staff_Bonuses[[#HEADERS],[Tr2]]), Staff_Bonuses[Tr2], 0) + IF(REGEXMATCH(D1"&amp;"0, B10), IF(REGEXMATCH(D10, Staff_Bonuses[[#HEADERS],[Py]]), Staff_Bonuses[Py], 0) + IF(REGEXMATCH(D10, Staff_Bonuses[[#HEADERS],[He]]), Staff_Bonuses[He], 0) + IF(REGEXMATCH(D10, Staff_Bonuses[[#HEADERS],[Vo]]), Staff_Bonuses[Vo], 0))"),1.2)</f>
        <v>1.2</v>
      </c>
      <c r="L10" s="44">
        <f>$K10 * E10 / Staff_Bonuses[Mag/Dmg]</f>
        <v>19.82769231</v>
      </c>
      <c r="M10" s="44">
        <f t="shared" si="1"/>
        <v>308.4</v>
      </c>
      <c r="N10" s="44">
        <f>IFERROR(__xludf.DUMMYFUNCTION("IF(G10&gt;0, ($L10+$M10) * G10 * ($K10 - IF(REGEXMATCH($D10, $B10), IF(REGEXMATCH($D10, Staff_Bonuses[[#HEADERS],[Py]]), Staff_Bonuses[Py],) + IF(REGEXMATCH($D10, Staff_Bonuses[[#HEADERS],[He]]), Staff_Bonuses[He],) + IF(REGEXMATCH($D10, Staff_Bonuses[[#HEAD"&amp;"ERS],[Vo]]), Staff_Bonuses[Vo],)) + IF(AND(REGEXMATCH($D10, $C10), REGEXMATCH($D10,Staff_Bonuses[[#HEADERS],[Py]])), Staff_Bonuses[Py],) ) / $K10, 0)"),26.258215384615383)</f>
        <v>26.25821538</v>
      </c>
      <c r="O10" s="44">
        <f>IFERROR(__xludf.DUMMYFUNCTION("IF(H10&gt;0, ($L10+$M10) * H10 * ($K10 - IF(REGEXMATCH($D10, $B10), IF(REGEXMATCH($D10, Staff_Bonuses[[#HEADERS],[Py]]), Staff_Bonuses[Py],) + IF(REGEXMATCH($D10, Staff_Bonuses[[#HEADERS],[He]]), Staff_Bonuses[He],) + IF(REGEXMATCH($D10, Staff_Bonuses[[#HEAD"&amp;"ERS],[Vo]]), Staff_Bonuses[Vo],)) + IF(AND(REGEXMATCH($D10, $C10), REGEXMATCH($D10,Staff_Bonuses[[#HEADERS],[He]])), Staff_Bonuses[He],) ) / $K10, 0)"),21.881846153846155)</f>
        <v>21.88184615</v>
      </c>
      <c r="P10" s="63">
        <f>IFERROR(__xludf.DUMMYFUNCTION("IF(I10&gt;0, ($L10+$M10) * I10 * ($K10 - IF(REGEXMATCH($D10, $B10), IF(REGEXMATCH($D10, Staff_Bonuses[[#HEADERS],[Py]]), Staff_Bonuses[Py],) + IF(REGEXMATCH($D10, Staff_Bonuses[[#HEADERS],[He]]), Staff_Bonuses[He],) + IF(REGEXMATCH($D10, Staff_Bonuses[[#HEAD"&amp;"ERS],[Vo]]), Staff_Bonuses[Vo],)) + IF(AND(REGEXMATCH($D10, $C10), REGEXMATCH($D10,Staff_Bonuses[[#HEADERS],[Vo]])), Staff_Bonuses[Vo],) ) / $K10, 0)"),21.881846153846155)</f>
        <v>21.88184615</v>
      </c>
      <c r="Q10" s="92">
        <f t="shared" si="2"/>
        <v>398.2496</v>
      </c>
      <c r="R10" s="87">
        <v>398.0</v>
      </c>
      <c r="S10" s="69">
        <f t="shared" si="3"/>
        <v>0.0006271356784</v>
      </c>
      <c r="T10" s="93">
        <f>Q10 * Staff_Bonuses[Special
Mult]</f>
        <v>597.3744</v>
      </c>
      <c r="U10" s="55">
        <v>597.0</v>
      </c>
      <c r="V10" s="72">
        <f t="shared" si="4"/>
        <v>0.0006271356784</v>
      </c>
    </row>
    <row r="11" ht="22.5" customHeight="1">
      <c r="A11" s="84" t="s">
        <v>93</v>
      </c>
      <c r="B11" s="85" t="s">
        <v>22</v>
      </c>
      <c r="C11" s="27" t="s">
        <v>22</v>
      </c>
      <c r="D11" s="27" t="s">
        <v>25</v>
      </c>
      <c r="E11" s="87">
        <v>1079.0</v>
      </c>
      <c r="F11" s="88">
        <v>257.0</v>
      </c>
      <c r="G11" s="95">
        <v>0.08</v>
      </c>
      <c r="H11" s="33">
        <v>0.08</v>
      </c>
      <c r="I11" s="33">
        <v>0.08</v>
      </c>
      <c r="J11" s="34">
        <v>0.0</v>
      </c>
      <c r="K11" s="90">
        <f>IFERROR(__xludf.DUMMYFUNCTION("1 + J11 + IF(REGEXMATCH(D11, Staff_Bonuses[[#HEADERS],[Pe]]), Staff_Bonuses[Pe]) + IF(REGEXMATCH(D11, Staff_Bonuses[[#HEADERS],[Tr1]]), Staff_Bonuses[Tr1], 0) + IF(REGEXMATCH(D11, Staff_Bonuses[[#HEADERS],[Tr2]]), Staff_Bonuses[Tr2], 0) + IF(REGEXMATCH(D1"&amp;"1, B11), IF(REGEXMATCH(D11, Staff_Bonuses[[#HEADERS],[Py]]), Staff_Bonuses[Py], 0) + IF(REGEXMATCH(D11, Staff_Bonuses[[#HEADERS],[He]]), Staff_Bonuses[He], 0) + IF(REGEXMATCH(D11, Staff_Bonuses[[#HEADERS],[Vo]]), Staff_Bonuses[Vo], 0))"),1.0)</f>
        <v>1</v>
      </c>
      <c r="L11" s="44">
        <f>$K11 * E11 / Staff_Bonuses[Mag/Dmg]</f>
        <v>16.6</v>
      </c>
      <c r="M11" s="44">
        <f t="shared" si="1"/>
        <v>257</v>
      </c>
      <c r="N11" s="44">
        <f>IFERROR(__xludf.DUMMYFUNCTION("IF(G11&gt;0, ($L11+$M11) * G11 * ($K11 - IF(REGEXMATCH($D11, $B11), IF(REGEXMATCH($D11, Staff_Bonuses[[#HEADERS],[Py]]), Staff_Bonuses[Py],) + IF(REGEXMATCH($D11, Staff_Bonuses[[#HEADERS],[He]]), Staff_Bonuses[He],) + IF(REGEXMATCH($D11, Staff_Bonuses[[#HEAD"&amp;"ERS],[Vo]]), Staff_Bonuses[Vo],)) + IF(AND(REGEXMATCH($D11, $C11), REGEXMATCH($D11,Staff_Bonuses[[#HEADERS],[Py]])), Staff_Bonuses[Py],) ) / $K11, 0)"),21.888)</f>
        <v>21.888</v>
      </c>
      <c r="O11" s="44">
        <f>IFERROR(__xludf.DUMMYFUNCTION("IF(H11&gt;0, ($L11+$M11) * H11 * ($K11 - IF(REGEXMATCH($D11, $B11), IF(REGEXMATCH($D11, Staff_Bonuses[[#HEADERS],[Py]]), Staff_Bonuses[Py],) + IF(REGEXMATCH($D11, Staff_Bonuses[[#HEADERS],[He]]), Staff_Bonuses[He],) + IF(REGEXMATCH($D11, Staff_Bonuses[[#HEAD"&amp;"ERS],[Vo]]), Staff_Bonuses[Vo],)) + IF(AND(REGEXMATCH($D11, $C11), REGEXMATCH($D11,Staff_Bonuses[[#HEADERS],[He]])), Staff_Bonuses[He],) ) / $K11, 0)"),21.888)</f>
        <v>21.888</v>
      </c>
      <c r="P11" s="63">
        <f>IFERROR(__xludf.DUMMYFUNCTION("IF(I11&gt;0, ($L11+$M11) * I11 * ($K11 - IF(REGEXMATCH($D11, $B11), IF(REGEXMATCH($D11, Staff_Bonuses[[#HEADERS],[Py]]), Staff_Bonuses[Py],) + IF(REGEXMATCH($D11, Staff_Bonuses[[#HEADERS],[He]]), Staff_Bonuses[He],) + IF(REGEXMATCH($D11, Staff_Bonuses[[#HEAD"&amp;"ERS],[Vo]]), Staff_Bonuses[Vo],)) + IF(AND(REGEXMATCH($D11, $C11), REGEXMATCH($D11,Staff_Bonuses[[#HEADERS],[Vo]])), Staff_Bonuses[Vo],) ) / $K11, 0)"),21.888)</f>
        <v>21.888</v>
      </c>
      <c r="Q11" s="92">
        <f>Ceiling(SUM(L11:P11),1)</f>
        <v>340</v>
      </c>
      <c r="R11" s="87">
        <v>340.0</v>
      </c>
      <c r="S11" s="69">
        <f t="shared" si="3"/>
        <v>0</v>
      </c>
      <c r="T11" s="93">
        <f>Q11 * Staff_Bonuses[Special
Mult]</f>
        <v>510</v>
      </c>
      <c r="U11" s="55">
        <v>509.0</v>
      </c>
      <c r="V11" s="72">
        <f t="shared" si="4"/>
        <v>0.001964636542</v>
      </c>
    </row>
    <row r="12" ht="22.5" customHeight="1">
      <c r="A12" s="27" t="s">
        <v>96</v>
      </c>
      <c r="B12" s="28" t="s">
        <v>22</v>
      </c>
      <c r="C12" s="28" t="s">
        <v>22</v>
      </c>
      <c r="D12" s="28" t="s">
        <v>97</v>
      </c>
      <c r="E12" s="29">
        <v>1017.0</v>
      </c>
      <c r="F12" s="30">
        <v>245.0</v>
      </c>
      <c r="G12" s="31">
        <v>0.08</v>
      </c>
      <c r="H12" s="33">
        <v>0.08</v>
      </c>
      <c r="I12" s="33">
        <v>0.08</v>
      </c>
      <c r="J12" s="34">
        <v>0.25</v>
      </c>
      <c r="K12" s="43">
        <f>IFERROR(__xludf.DUMMYFUNCTION("1 + J12 + IF(REGEXMATCH(D12, Staff_Bonuses[[#HEADERS],[Pe]]), Staff_Bonuses[Pe]) + IF(REGEXMATCH(D12, Staff_Bonuses[[#HEADERS],[Tr1]]), Staff_Bonuses[Tr1], 0) + IF(REGEXMATCH(D12, Staff_Bonuses[[#HEADERS],[Tr2]]), Staff_Bonuses[Tr2], 0) + IF(REGEXMATCH(D1"&amp;"2, B12), IF(REGEXMATCH(D12, Staff_Bonuses[[#HEADERS],[Py]]), Staff_Bonuses[Py], 0) + IF(REGEXMATCH(D12, Staff_Bonuses[[#HEADERS],[He]]), Staff_Bonuses[He], 0) + IF(REGEXMATCH(D12, Staff_Bonuses[[#HEADERS],[Vo]]), Staff_Bonuses[Vo], 0))"),1.4500000000000002)</f>
        <v>1.45</v>
      </c>
      <c r="L12" s="44">
        <f>$K12 * E12 / Staff_Bonuses[Mag/Dmg]</f>
        <v>22.68692308</v>
      </c>
      <c r="M12" s="44">
        <f t="shared" si="1"/>
        <v>355.25</v>
      </c>
      <c r="N12" s="44">
        <f>IFERROR(__xludf.DUMMYFUNCTION("IF(G12&gt;0, ($L12+$M12) * G12 * ($K12 - IF(REGEXMATCH($D12, $B12), IF(REGEXMATCH($D12, Staff_Bonuses[[#HEADERS],[Py]]), Staff_Bonuses[Py],) + IF(REGEXMATCH($D12, Staff_Bonuses[[#HEADERS],[He]]), Staff_Bonuses[He],) + IF(REGEXMATCH($D12, Staff_Bonuses[[#HEAD"&amp;"ERS],[Vo]]), Staff_Bonuses[Vo],)) + IF(AND(REGEXMATCH($D12, $C12), REGEXMATCH($D12,Staff_Bonuses[[#HEADERS],[Py]])), Staff_Bonuses[Py],) ) / $K12, 0)"),30.234953846153847)</f>
        <v>30.23495385</v>
      </c>
      <c r="O12" s="44">
        <f>IFERROR(__xludf.DUMMYFUNCTION("IF(H12&gt;0, ($L12+$M12) * H12 * ($K12 - IF(REGEXMATCH($D12, $B12), IF(REGEXMATCH($D12, Staff_Bonuses[[#HEADERS],[Py]]), Staff_Bonuses[Py],) + IF(REGEXMATCH($D12, Staff_Bonuses[[#HEADERS],[He]]), Staff_Bonuses[He],) + IF(REGEXMATCH($D12, Staff_Bonuses[[#HEAD"&amp;"ERS],[Vo]]), Staff_Bonuses[Vo],)) + IF(AND(REGEXMATCH($D12, $C12), REGEXMATCH($D12,Staff_Bonuses[[#HEADERS],[He]])), Staff_Bonuses[He],) ) / $K12, 0)"),30.234953846153847)</f>
        <v>30.23495385</v>
      </c>
      <c r="P12" s="63">
        <f>IFERROR(__xludf.DUMMYFUNCTION("IF(I12&gt;0, ($L12+$M12) * I12 * ($K12 - IF(REGEXMATCH($D12, $B12), IF(REGEXMATCH($D12, Staff_Bonuses[[#HEADERS],[Py]]), Staff_Bonuses[Py],) + IF(REGEXMATCH($D12, Staff_Bonuses[[#HEADERS],[He]]), Staff_Bonuses[He],) + IF(REGEXMATCH($D12, Staff_Bonuses[[#HEAD"&amp;"ERS],[Vo]]), Staff_Bonuses[Vo],)) + IF(AND(REGEXMATCH($D12, $C12), REGEXMATCH($D12,Staff_Bonuses[[#HEADERS],[Vo]])), Staff_Bonuses[Vo],) ) / $K12, 0)"),30.234953846153847)</f>
        <v>30.23495385</v>
      </c>
      <c r="Q12" s="64">
        <f t="shared" ref="Q12:Q40" si="5">SUM(L12:P12)</f>
        <v>468.6417846</v>
      </c>
      <c r="R12" s="65">
        <v>468.0</v>
      </c>
      <c r="S12" s="69">
        <f t="shared" si="3"/>
        <v>0.001371334648</v>
      </c>
      <c r="T12" s="71">
        <f>Q12 * Staff_Bonuses[Special
Mult]</f>
        <v>702.9626769</v>
      </c>
      <c r="U12" s="93"/>
      <c r="V12" s="72" t="str">
        <f t="shared" si="4"/>
        <v/>
      </c>
    </row>
    <row r="13" ht="22.5" customHeight="1">
      <c r="A13" s="27" t="s">
        <v>96</v>
      </c>
      <c r="B13" s="28" t="s">
        <v>22</v>
      </c>
      <c r="C13" s="28" t="s">
        <v>22</v>
      </c>
      <c r="D13" s="27" t="s">
        <v>22</v>
      </c>
      <c r="E13" s="55">
        <v>1003.0</v>
      </c>
      <c r="F13" s="97">
        <v>245.0</v>
      </c>
      <c r="G13" s="89">
        <v>0.08</v>
      </c>
      <c r="H13" s="33">
        <v>0.08</v>
      </c>
      <c r="I13" s="33">
        <v>0.08</v>
      </c>
      <c r="J13" s="34">
        <v>0.25</v>
      </c>
      <c r="K13" s="43">
        <f>IFERROR(__xludf.DUMMYFUNCTION("1 + J13 + IF(REGEXMATCH(D13, Staff_Bonuses[[#HEADERS],[Pe]]), Staff_Bonuses[Pe]) + IF(REGEXMATCH(D13, Staff_Bonuses[[#HEADERS],[Tr1]]), Staff_Bonuses[Tr1], 0) + IF(REGEXMATCH(D13, Staff_Bonuses[[#HEADERS],[Tr2]]), Staff_Bonuses[Tr2], 0) + IF(REGEXMATCH(D1"&amp;"3, B13), IF(REGEXMATCH(D13, Staff_Bonuses[[#HEADERS],[Py]]), Staff_Bonuses[Py], 0) + IF(REGEXMATCH(D13, Staff_Bonuses[[#HEADERS],[He]]), Staff_Bonuses[He], 0) + IF(REGEXMATCH(D13, Staff_Bonuses[[#HEADERS],[Vo]]), Staff_Bonuses[Vo], 0))"),1.45)</f>
        <v>1.45</v>
      </c>
      <c r="L13" s="44">
        <f>$K13 * E13 / Staff_Bonuses[Mag/Dmg]</f>
        <v>22.37461538</v>
      </c>
      <c r="M13" s="44">
        <f t="shared" si="1"/>
        <v>355.25</v>
      </c>
      <c r="N13" s="44">
        <f>IFERROR(__xludf.DUMMYFUNCTION("IF(G13&gt;0, ($L13+$M13) * G13 * ($K13 - IF(REGEXMATCH($D13, $B13), IF(REGEXMATCH($D13, Staff_Bonuses[[#HEADERS],[Py]]), Staff_Bonuses[Py],) + IF(REGEXMATCH($D13, Staff_Bonuses[[#HEADERS],[He]]), Staff_Bonuses[He],) + IF(REGEXMATCH($D13, Staff_Bonuses[[#HEAD"&amp;"ERS],[Vo]]), Staff_Bonuses[Vo],)) + IF(AND(REGEXMATCH($D13, $C13), REGEXMATCH($D13,Staff_Bonuses[[#HEADERS],[Py]])), Staff_Bonuses[Py],) ) / $K13, 0)"),30.20996923076923)</f>
        <v>30.20996923</v>
      </c>
      <c r="O13" s="44">
        <f>IFERROR(__xludf.DUMMYFUNCTION("IF(H13&gt;0, ($L13+$M13) * H13 * ($K13 - IF(REGEXMATCH($D13, $B13), IF(REGEXMATCH($D13, Staff_Bonuses[[#HEADERS],[Py]]), Staff_Bonuses[Py],) + IF(REGEXMATCH($D13, Staff_Bonuses[[#HEADERS],[He]]), Staff_Bonuses[He],) + IF(REGEXMATCH($D13, Staff_Bonuses[[#HEAD"&amp;"ERS],[Vo]]), Staff_Bonuses[Vo],)) + IF(AND(REGEXMATCH($D13, $C13), REGEXMATCH($D13,Staff_Bonuses[[#HEADERS],[He]])), Staff_Bonuses[He],) ) / $K13, 0)"),26.043076923076924)</f>
        <v>26.04307692</v>
      </c>
      <c r="P13" s="63">
        <f>IFERROR(__xludf.DUMMYFUNCTION("IF(I13&gt;0, ($L13+$M13) * I13 * ($K13 - IF(REGEXMATCH($D13, $B13), IF(REGEXMATCH($D13, Staff_Bonuses[[#HEADERS],[Py]]), Staff_Bonuses[Py],) + IF(REGEXMATCH($D13, Staff_Bonuses[[#HEADERS],[He]]), Staff_Bonuses[He],) + IF(REGEXMATCH($D13, Staff_Bonuses[[#HEAD"&amp;"ERS],[Vo]]), Staff_Bonuses[Vo],)) + IF(AND(REGEXMATCH($D13, $C13), REGEXMATCH($D13,Staff_Bonuses[[#HEADERS],[Vo]])), Staff_Bonuses[Vo],) ) / $K13, 0)"),26.043076923076924)</f>
        <v>26.04307692</v>
      </c>
      <c r="Q13" s="64">
        <f t="shared" si="5"/>
        <v>459.9207385</v>
      </c>
      <c r="R13" s="65">
        <v>460.0</v>
      </c>
      <c r="S13" s="69">
        <f t="shared" si="3"/>
        <v>0.0001723076923</v>
      </c>
      <c r="T13" s="71">
        <f>Q13 * Staff_Bonuses[Special
Mult]</f>
        <v>689.8811077</v>
      </c>
      <c r="U13" s="93"/>
      <c r="V13" s="72" t="str">
        <f t="shared" si="4"/>
        <v/>
      </c>
    </row>
    <row r="14" ht="22.5" customHeight="1">
      <c r="A14" s="99" t="s">
        <v>99</v>
      </c>
      <c r="B14" s="100" t="s">
        <v>22</v>
      </c>
      <c r="C14" s="100" t="s">
        <v>22</v>
      </c>
      <c r="D14" s="101" t="s">
        <v>97</v>
      </c>
      <c r="E14" s="102">
        <v>689.0</v>
      </c>
      <c r="F14" s="103">
        <v>141.0</v>
      </c>
      <c r="G14" s="95">
        <v>0.0</v>
      </c>
      <c r="H14" s="104">
        <v>0.0</v>
      </c>
      <c r="I14" s="104">
        <v>0.0</v>
      </c>
      <c r="J14" s="34">
        <v>0.0</v>
      </c>
      <c r="K14" s="43">
        <f>IFERROR(__xludf.DUMMYFUNCTION("1 + J14 + IF(REGEXMATCH(D14, Staff_Bonuses[[#HEADERS],[Pe]]), Staff_Bonuses[Pe]) + IF(REGEXMATCH(D14, Staff_Bonuses[[#HEADERS],[Tr1]]), Staff_Bonuses[Tr1], 0) + IF(REGEXMATCH(D14, Staff_Bonuses[[#HEADERS],[Tr2]]), Staff_Bonuses[Tr2], 0) + IF(REGEXMATCH(D1"&amp;"4, B14), IF(REGEXMATCH(D14, Staff_Bonuses[[#HEADERS],[Py]]), Staff_Bonuses[Py], 0) + IF(REGEXMATCH(D14, Staff_Bonuses[[#HEADERS],[He]]), Staff_Bonuses[He], 0) + IF(REGEXMATCH(D14, Staff_Bonuses[[#HEADERS],[Vo]]), Staff_Bonuses[Vo], 0))"),1.2000000000000002)</f>
        <v>1.2</v>
      </c>
      <c r="L14" s="44">
        <f>$K14 * E14 / Staff_Bonuses[Mag/Dmg]</f>
        <v>12.72</v>
      </c>
      <c r="M14" s="44">
        <f t="shared" si="1"/>
        <v>169.2</v>
      </c>
      <c r="N14" s="44">
        <f>IFERROR(__xludf.DUMMYFUNCTION("IF(G14&gt;0, ($L14+$M14) * G14 * ($K14 - IF(REGEXMATCH($D14, $B14), IF(REGEXMATCH($D14, Staff_Bonuses[[#HEADERS],[Py]]), Staff_Bonuses[Py],) + IF(REGEXMATCH($D14, Staff_Bonuses[[#HEADERS],[He]]), Staff_Bonuses[He],) + IF(REGEXMATCH($D14, Staff_Bonuses[[#HEAD"&amp;"ERS],[Vo]]), Staff_Bonuses[Vo],)) + IF(AND(REGEXMATCH($D14, $C14), REGEXMATCH($D14,Staff_Bonuses[[#HEADERS],[Py]])), Staff_Bonuses[Py],) ) / $K14, 0)"),0.0)</f>
        <v>0</v>
      </c>
      <c r="O14" s="44">
        <f>IFERROR(__xludf.DUMMYFUNCTION("IF(H14&gt;0, ($L14+$M14) * H14 * ($K14 - IF(REGEXMATCH($D14, $B14), IF(REGEXMATCH($D14, Staff_Bonuses[[#HEADERS],[Py]]), Staff_Bonuses[Py],) + IF(REGEXMATCH($D14, Staff_Bonuses[[#HEADERS],[He]]), Staff_Bonuses[He],) + IF(REGEXMATCH($D14, Staff_Bonuses[[#HEAD"&amp;"ERS],[Vo]]), Staff_Bonuses[Vo],)) + IF(AND(REGEXMATCH($D14, $C14), REGEXMATCH($D14,Staff_Bonuses[[#HEADERS],[He]])), Staff_Bonuses[He],) ) / $K14, 0)"),0.0)</f>
        <v>0</v>
      </c>
      <c r="P14" s="63">
        <f>IFERROR(__xludf.DUMMYFUNCTION("IF(I14&gt;0, ($L14+$M14) * I14 * ($K14 - IF(REGEXMATCH($D14, $B14), IF(REGEXMATCH($D14, Staff_Bonuses[[#HEADERS],[Py]]), Staff_Bonuses[Py],) + IF(REGEXMATCH($D14, Staff_Bonuses[[#HEADERS],[He]]), Staff_Bonuses[He],) + IF(REGEXMATCH($D14, Staff_Bonuses[[#HEAD"&amp;"ERS],[Vo]]), Staff_Bonuses[Vo],)) + IF(AND(REGEXMATCH($D14, $C14), REGEXMATCH($D14,Staff_Bonuses[[#HEADERS],[Vo]])), Staff_Bonuses[Vo],) ) / $K14, 0)"),0.0)</f>
        <v>0</v>
      </c>
      <c r="Q14" s="64">
        <f t="shared" si="5"/>
        <v>181.92</v>
      </c>
      <c r="R14" s="65">
        <v>182.0</v>
      </c>
      <c r="S14" s="69">
        <f t="shared" si="3"/>
        <v>0.0004395604396</v>
      </c>
      <c r="T14" s="71">
        <f>Q14 * Staff_Bonuses[Special
Mult]</f>
        <v>272.88</v>
      </c>
      <c r="U14" s="93"/>
      <c r="V14" s="72" t="str">
        <f t="shared" si="4"/>
        <v/>
      </c>
    </row>
    <row r="15" ht="22.5" customHeight="1">
      <c r="A15" s="106" t="s">
        <v>99</v>
      </c>
      <c r="B15" s="107" t="s">
        <v>22</v>
      </c>
      <c r="C15" s="107" t="s">
        <v>22</v>
      </c>
      <c r="D15" s="108" t="s">
        <v>22</v>
      </c>
      <c r="E15" s="109">
        <v>675.0</v>
      </c>
      <c r="F15" s="110">
        <v>141.0</v>
      </c>
      <c r="G15" s="95">
        <v>0.0</v>
      </c>
      <c r="H15" s="104">
        <v>0.0</v>
      </c>
      <c r="I15" s="104">
        <v>0.0</v>
      </c>
      <c r="J15" s="34">
        <v>0.0</v>
      </c>
      <c r="K15" s="43">
        <f>IFERROR(__xludf.DUMMYFUNCTION("1 + J15 + IF(REGEXMATCH(D15, Staff_Bonuses[[#HEADERS],[Pe]]), Staff_Bonuses[Pe]) + IF(REGEXMATCH(D15, Staff_Bonuses[[#HEADERS],[Tr1]]), Staff_Bonuses[Tr1], 0) + IF(REGEXMATCH(D15, Staff_Bonuses[[#HEADERS],[Tr2]]), Staff_Bonuses[Tr2], 0) + IF(REGEXMATCH(D1"&amp;"5, B15), IF(REGEXMATCH(D15, Staff_Bonuses[[#HEADERS],[Py]]), Staff_Bonuses[Py], 0) + IF(REGEXMATCH(D15, Staff_Bonuses[[#HEADERS],[He]]), Staff_Bonuses[He], 0) + IF(REGEXMATCH(D15, Staff_Bonuses[[#HEADERS],[Vo]]), Staff_Bonuses[Vo], 0))"),1.2)</f>
        <v>1.2</v>
      </c>
      <c r="L15" s="44">
        <f>$K15 * E15 / Staff_Bonuses[Mag/Dmg]</f>
        <v>12.46153846</v>
      </c>
      <c r="M15" s="44">
        <f t="shared" si="1"/>
        <v>169.2</v>
      </c>
      <c r="N15" s="44">
        <f>IFERROR(__xludf.DUMMYFUNCTION("IF(G15&gt;0, ($L15+$M15) * G15 * ($K15 - IF(REGEXMATCH($D15, $B15), IF(REGEXMATCH($D15, Staff_Bonuses[[#HEADERS],[Py]]), Staff_Bonuses[Py],) + IF(REGEXMATCH($D15, Staff_Bonuses[[#HEADERS],[He]]), Staff_Bonuses[He],) + IF(REGEXMATCH($D15, Staff_Bonuses[[#HEAD"&amp;"ERS],[Vo]]), Staff_Bonuses[Vo],)) + IF(AND(REGEXMATCH($D15, $C15), REGEXMATCH($D15,Staff_Bonuses[[#HEADERS],[Py]])), Staff_Bonuses[Py],) ) / $K15, 0)"),0.0)</f>
        <v>0</v>
      </c>
      <c r="O15" s="44">
        <f>IFERROR(__xludf.DUMMYFUNCTION("IF(H15&gt;0, ($L15+$M15) * H15 * ($K15 - IF(REGEXMATCH($D15, $B15), IF(REGEXMATCH($D15, Staff_Bonuses[[#HEADERS],[Py]]), Staff_Bonuses[Py],) + IF(REGEXMATCH($D15, Staff_Bonuses[[#HEADERS],[He]]), Staff_Bonuses[He],) + IF(REGEXMATCH($D15, Staff_Bonuses[[#HEAD"&amp;"ERS],[Vo]]), Staff_Bonuses[Vo],)) + IF(AND(REGEXMATCH($D15, $C15), REGEXMATCH($D15,Staff_Bonuses[[#HEADERS],[He]])), Staff_Bonuses[He],) ) / $K15, 0)"),0.0)</f>
        <v>0</v>
      </c>
      <c r="P15" s="63">
        <f>IFERROR(__xludf.DUMMYFUNCTION("IF(I15&gt;0, ($L15+$M15) * I15 * ($K15 - IF(REGEXMATCH($D15, $B15), IF(REGEXMATCH($D15, Staff_Bonuses[[#HEADERS],[Py]]), Staff_Bonuses[Py],) + IF(REGEXMATCH($D15, Staff_Bonuses[[#HEADERS],[He]]), Staff_Bonuses[He],) + IF(REGEXMATCH($D15, Staff_Bonuses[[#HEAD"&amp;"ERS],[Vo]]), Staff_Bonuses[Vo],)) + IF(AND(REGEXMATCH($D15, $C15), REGEXMATCH($D15,Staff_Bonuses[[#HEADERS],[Vo]])), Staff_Bonuses[Vo],) ) / $K15, 0)"),0.0)</f>
        <v>0</v>
      </c>
      <c r="Q15" s="64">
        <f t="shared" si="5"/>
        <v>181.6615385</v>
      </c>
      <c r="R15" s="65">
        <v>182.0</v>
      </c>
      <c r="S15" s="69">
        <f t="shared" si="3"/>
        <v>0.001859678783</v>
      </c>
      <c r="T15" s="71">
        <f>Q15 * Staff_Bonuses[Special
Mult]</f>
        <v>272.4923077</v>
      </c>
      <c r="U15" s="93"/>
      <c r="V15" s="72" t="str">
        <f t="shared" si="4"/>
        <v/>
      </c>
    </row>
    <row r="16" ht="22.5" customHeight="1">
      <c r="A16" s="99" t="s">
        <v>99</v>
      </c>
      <c r="B16" s="100" t="s">
        <v>22</v>
      </c>
      <c r="C16" s="100" t="s">
        <v>22</v>
      </c>
      <c r="D16" s="101" t="s">
        <v>97</v>
      </c>
      <c r="E16" s="102">
        <v>689.0</v>
      </c>
      <c r="F16" s="103">
        <v>141.0</v>
      </c>
      <c r="G16" s="95">
        <v>0.0</v>
      </c>
      <c r="H16" s="104">
        <v>0.0</v>
      </c>
      <c r="I16" s="104">
        <v>0.0</v>
      </c>
      <c r="J16" s="34">
        <v>0.25</v>
      </c>
      <c r="K16" s="43">
        <f>IFERROR(__xludf.DUMMYFUNCTION("1 + J16 + IF(REGEXMATCH(D16, Staff_Bonuses[[#HEADERS],[Pe]]), Staff_Bonuses[Pe]) + IF(REGEXMATCH(D16, Staff_Bonuses[[#HEADERS],[Tr1]]), Staff_Bonuses[Tr1], 0) + IF(REGEXMATCH(D16, Staff_Bonuses[[#HEADERS],[Tr2]]), Staff_Bonuses[Tr2], 0) + IF(REGEXMATCH(D1"&amp;"6, B16), IF(REGEXMATCH(D16, Staff_Bonuses[[#HEADERS],[Py]]), Staff_Bonuses[Py], 0) + IF(REGEXMATCH(D16, Staff_Bonuses[[#HEADERS],[He]]), Staff_Bonuses[He], 0) + IF(REGEXMATCH(D16, Staff_Bonuses[[#HEADERS],[Vo]]), Staff_Bonuses[Vo], 0))"),1.4500000000000002)</f>
        <v>1.45</v>
      </c>
      <c r="L16" s="44">
        <f>$K16 * E16 / Staff_Bonuses[Mag/Dmg]</f>
        <v>15.37</v>
      </c>
      <c r="M16" s="44">
        <f t="shared" si="1"/>
        <v>204.45</v>
      </c>
      <c r="N16" s="44">
        <f>IFERROR(__xludf.DUMMYFUNCTION("IF(G16&gt;0, ($L16+$M16) * G16 * ($K16 - IF(REGEXMATCH($D16, $B16), IF(REGEXMATCH($D16, Staff_Bonuses[[#HEADERS],[Py]]), Staff_Bonuses[Py],) + IF(REGEXMATCH($D16, Staff_Bonuses[[#HEADERS],[He]]), Staff_Bonuses[He],) + IF(REGEXMATCH($D16, Staff_Bonuses[[#HEAD"&amp;"ERS],[Vo]]), Staff_Bonuses[Vo],)) + IF(AND(REGEXMATCH($D16, $C16), REGEXMATCH($D16,Staff_Bonuses[[#HEADERS],[Py]])), Staff_Bonuses[Py],) ) / $K16, 0)"),0.0)</f>
        <v>0</v>
      </c>
      <c r="O16" s="44">
        <f>IFERROR(__xludf.DUMMYFUNCTION("IF(H16&gt;0, ($L16+$M16) * H16 * ($K16 - IF(REGEXMATCH($D16, $B16), IF(REGEXMATCH($D16, Staff_Bonuses[[#HEADERS],[Py]]), Staff_Bonuses[Py],) + IF(REGEXMATCH($D16, Staff_Bonuses[[#HEADERS],[He]]), Staff_Bonuses[He],) + IF(REGEXMATCH($D16, Staff_Bonuses[[#HEAD"&amp;"ERS],[Vo]]), Staff_Bonuses[Vo],)) + IF(AND(REGEXMATCH($D16, $C16), REGEXMATCH($D16,Staff_Bonuses[[#HEADERS],[He]])), Staff_Bonuses[He],) ) / $K16, 0)"),0.0)</f>
        <v>0</v>
      </c>
      <c r="P16" s="63">
        <f>IFERROR(__xludf.DUMMYFUNCTION("IF(I16&gt;0, ($L16+$M16) * I16 * ($K16 - IF(REGEXMATCH($D16, $B16), IF(REGEXMATCH($D16, Staff_Bonuses[[#HEADERS],[Py]]), Staff_Bonuses[Py],) + IF(REGEXMATCH($D16, Staff_Bonuses[[#HEADERS],[He]]), Staff_Bonuses[He],) + IF(REGEXMATCH($D16, Staff_Bonuses[[#HEAD"&amp;"ERS],[Vo]]), Staff_Bonuses[Vo],)) + IF(AND(REGEXMATCH($D16, $C16), REGEXMATCH($D16,Staff_Bonuses[[#HEADERS],[Vo]])), Staff_Bonuses[Vo],) ) / $K16, 0)"),0.0)</f>
        <v>0</v>
      </c>
      <c r="Q16" s="64">
        <f t="shared" si="5"/>
        <v>219.82</v>
      </c>
      <c r="R16" s="93">
        <v>220.0</v>
      </c>
      <c r="S16" s="69">
        <f t="shared" si="3"/>
        <v>0.0008181818182</v>
      </c>
      <c r="T16" s="71">
        <f>Q16 * Staff_Bonuses[Special
Mult]</f>
        <v>329.73</v>
      </c>
      <c r="U16" s="93"/>
      <c r="V16" s="72" t="str">
        <f t="shared" si="4"/>
        <v/>
      </c>
    </row>
    <row r="17" ht="22.5" customHeight="1">
      <c r="A17" s="106" t="s">
        <v>99</v>
      </c>
      <c r="B17" s="107" t="s">
        <v>22</v>
      </c>
      <c r="C17" s="107" t="s">
        <v>22</v>
      </c>
      <c r="D17" s="108" t="s">
        <v>22</v>
      </c>
      <c r="E17" s="109">
        <v>675.0</v>
      </c>
      <c r="F17" s="110">
        <v>141.0</v>
      </c>
      <c r="G17" s="95">
        <v>0.0</v>
      </c>
      <c r="H17" s="104">
        <v>0.0</v>
      </c>
      <c r="I17" s="104">
        <v>0.0</v>
      </c>
      <c r="J17" s="34">
        <v>0.25</v>
      </c>
      <c r="K17" s="43">
        <f>IFERROR(__xludf.DUMMYFUNCTION("1 + J17 + IF(REGEXMATCH(D17, Staff_Bonuses[[#HEADERS],[Pe]]), Staff_Bonuses[Pe]) + IF(REGEXMATCH(D17, Staff_Bonuses[[#HEADERS],[Tr1]]), Staff_Bonuses[Tr1], 0) + IF(REGEXMATCH(D17, Staff_Bonuses[[#HEADERS],[Tr2]]), Staff_Bonuses[Tr2], 0) + IF(REGEXMATCH(D1"&amp;"7, B17), IF(REGEXMATCH(D17, Staff_Bonuses[[#HEADERS],[Py]]), Staff_Bonuses[Py], 0) + IF(REGEXMATCH(D17, Staff_Bonuses[[#HEADERS],[He]]), Staff_Bonuses[He], 0) + IF(REGEXMATCH(D17, Staff_Bonuses[[#HEADERS],[Vo]]), Staff_Bonuses[Vo], 0))"),1.45)</f>
        <v>1.45</v>
      </c>
      <c r="L17" s="44">
        <f>$K17 * E17 / Staff_Bonuses[Mag/Dmg]</f>
        <v>15.05769231</v>
      </c>
      <c r="M17" s="44">
        <f t="shared" si="1"/>
        <v>204.45</v>
      </c>
      <c r="N17" s="44">
        <f>IFERROR(__xludf.DUMMYFUNCTION("IF(G17&gt;0, ($L17+$M17) * G17 * ($K17 - IF(REGEXMATCH($D17, $B17), IF(REGEXMATCH($D17, Staff_Bonuses[[#HEADERS],[Py]]), Staff_Bonuses[Py],) + IF(REGEXMATCH($D17, Staff_Bonuses[[#HEADERS],[He]]), Staff_Bonuses[He],) + IF(REGEXMATCH($D17, Staff_Bonuses[[#HEAD"&amp;"ERS],[Vo]]), Staff_Bonuses[Vo],)) + IF(AND(REGEXMATCH($D17, $C17), REGEXMATCH($D17,Staff_Bonuses[[#HEADERS],[Py]])), Staff_Bonuses[Py],) ) / $K17, 0)"),0.0)</f>
        <v>0</v>
      </c>
      <c r="O17" s="44">
        <f>IFERROR(__xludf.DUMMYFUNCTION("IF(H17&gt;0, ($L17+$M17) * H17 * ($K17 - IF(REGEXMATCH($D17, $B17), IF(REGEXMATCH($D17, Staff_Bonuses[[#HEADERS],[Py]]), Staff_Bonuses[Py],) + IF(REGEXMATCH($D17, Staff_Bonuses[[#HEADERS],[He]]), Staff_Bonuses[He],) + IF(REGEXMATCH($D17, Staff_Bonuses[[#HEAD"&amp;"ERS],[Vo]]), Staff_Bonuses[Vo],)) + IF(AND(REGEXMATCH($D17, $C17), REGEXMATCH($D17,Staff_Bonuses[[#HEADERS],[He]])), Staff_Bonuses[He],) ) / $K17, 0)"),0.0)</f>
        <v>0</v>
      </c>
      <c r="P17" s="63">
        <f>IFERROR(__xludf.DUMMYFUNCTION("IF(I17&gt;0, ($L17+$M17) * I17 * ($K17 - IF(REGEXMATCH($D17, $B17), IF(REGEXMATCH($D17, Staff_Bonuses[[#HEADERS],[Py]]), Staff_Bonuses[Py],) + IF(REGEXMATCH($D17, Staff_Bonuses[[#HEADERS],[He]]), Staff_Bonuses[He],) + IF(REGEXMATCH($D17, Staff_Bonuses[[#HEAD"&amp;"ERS],[Vo]]), Staff_Bonuses[Vo],)) + IF(AND(REGEXMATCH($D17, $C17), REGEXMATCH($D17,Staff_Bonuses[[#HEADERS],[Vo]])), Staff_Bonuses[Vo],) ) / $K17, 0)"),0.0)</f>
        <v>0</v>
      </c>
      <c r="Q17" s="64">
        <f t="shared" si="5"/>
        <v>219.5076923</v>
      </c>
      <c r="R17" s="93">
        <v>220.0</v>
      </c>
      <c r="S17" s="69">
        <f t="shared" si="3"/>
        <v>0.002237762238</v>
      </c>
      <c r="T17" s="71">
        <f>Q17 * Staff_Bonuses[Special
Mult]</f>
        <v>329.2615385</v>
      </c>
      <c r="U17" s="93"/>
      <c r="V17" s="72" t="str">
        <f t="shared" si="4"/>
        <v/>
      </c>
    </row>
    <row r="18" ht="22.5" customHeight="1">
      <c r="A18" s="99" t="s">
        <v>99</v>
      </c>
      <c r="B18" s="100" t="s">
        <v>22</v>
      </c>
      <c r="C18" s="100" t="s">
        <v>22</v>
      </c>
      <c r="D18" s="101" t="s">
        <v>97</v>
      </c>
      <c r="E18" s="102">
        <v>1113.0</v>
      </c>
      <c r="F18" s="103">
        <v>141.0</v>
      </c>
      <c r="G18" s="95">
        <v>0.0</v>
      </c>
      <c r="H18" s="104">
        <v>0.0</v>
      </c>
      <c r="I18" s="104">
        <v>0.0</v>
      </c>
      <c r="J18" s="34">
        <v>0.25</v>
      </c>
      <c r="K18" s="43">
        <f>IFERROR(__xludf.DUMMYFUNCTION("1 + J18 + IF(REGEXMATCH(D18, Staff_Bonuses[[#HEADERS],[Pe]]), Staff_Bonuses[Pe]) + IF(REGEXMATCH(D18, Staff_Bonuses[[#HEADERS],[Tr1]]), Staff_Bonuses[Tr1], 0) + IF(REGEXMATCH(D18, Staff_Bonuses[[#HEADERS],[Tr2]]), Staff_Bonuses[Tr2], 0) + IF(REGEXMATCH(D1"&amp;"8, B18), IF(REGEXMATCH(D18, Staff_Bonuses[[#HEADERS],[Py]]), Staff_Bonuses[Py], 0) + IF(REGEXMATCH(D18, Staff_Bonuses[[#HEADERS],[He]]), Staff_Bonuses[He], 0) + IF(REGEXMATCH(D18, Staff_Bonuses[[#HEADERS],[Vo]]), Staff_Bonuses[Vo], 0))"),1.4500000000000002)</f>
        <v>1.45</v>
      </c>
      <c r="L18" s="44">
        <f>$K18 * E18 / Staff_Bonuses[Mag/Dmg]</f>
        <v>24.82846154</v>
      </c>
      <c r="M18" s="44">
        <f t="shared" si="1"/>
        <v>204.45</v>
      </c>
      <c r="N18" s="44">
        <f>IFERROR(__xludf.DUMMYFUNCTION("IF(G18&gt;0, ($L18+$M18) * G18 * ($K18 - IF(REGEXMATCH($D18, $B18), IF(REGEXMATCH($D18, Staff_Bonuses[[#HEADERS],[Py]]), Staff_Bonuses[Py],) + IF(REGEXMATCH($D18, Staff_Bonuses[[#HEADERS],[He]]), Staff_Bonuses[He],) + IF(REGEXMATCH($D18, Staff_Bonuses[[#HEAD"&amp;"ERS],[Vo]]), Staff_Bonuses[Vo],)) + IF(AND(REGEXMATCH($D18, $C18), REGEXMATCH($D18,Staff_Bonuses[[#HEADERS],[Py]])), Staff_Bonuses[Py],) ) / $K18, 0)"),0.0)</f>
        <v>0</v>
      </c>
      <c r="O18" s="44">
        <f>IFERROR(__xludf.DUMMYFUNCTION("IF(H18&gt;0, ($L18+$M18) * H18 * ($K18 - IF(REGEXMATCH($D18, $B18), IF(REGEXMATCH($D18, Staff_Bonuses[[#HEADERS],[Py]]), Staff_Bonuses[Py],) + IF(REGEXMATCH($D18, Staff_Bonuses[[#HEADERS],[He]]), Staff_Bonuses[He],) + IF(REGEXMATCH($D18, Staff_Bonuses[[#HEAD"&amp;"ERS],[Vo]]), Staff_Bonuses[Vo],)) + IF(AND(REGEXMATCH($D18, $C18), REGEXMATCH($D18,Staff_Bonuses[[#HEADERS],[He]])), Staff_Bonuses[He],) ) / $K18, 0)"),0.0)</f>
        <v>0</v>
      </c>
      <c r="P18" s="63">
        <f>IFERROR(__xludf.DUMMYFUNCTION("IF(I18&gt;0, ($L18+$M18) * I18 * ($K18 - IF(REGEXMATCH($D18, $B18), IF(REGEXMATCH($D18, Staff_Bonuses[[#HEADERS],[Py]]), Staff_Bonuses[Py],) + IF(REGEXMATCH($D18, Staff_Bonuses[[#HEADERS],[He]]), Staff_Bonuses[He],) + IF(REGEXMATCH($D18, Staff_Bonuses[[#HEAD"&amp;"ERS],[Vo]]), Staff_Bonuses[Vo],)) + IF(AND(REGEXMATCH($D18, $C18), REGEXMATCH($D18,Staff_Bonuses[[#HEADERS],[Vo]])), Staff_Bonuses[Vo],) ) / $K18, 0)"),0.0)</f>
        <v>0</v>
      </c>
      <c r="Q18" s="64">
        <f t="shared" si="5"/>
        <v>229.2784615</v>
      </c>
      <c r="R18" s="55">
        <v>229.0</v>
      </c>
      <c r="S18" s="69">
        <f t="shared" si="3"/>
        <v>0.001215989251</v>
      </c>
      <c r="T18" s="71">
        <f>Q18 * Staff_Bonuses[Special
Mult]</f>
        <v>343.9176923</v>
      </c>
      <c r="U18" s="93"/>
      <c r="V18" s="72" t="str">
        <f t="shared" si="4"/>
        <v/>
      </c>
    </row>
    <row r="19" ht="22.5" customHeight="1">
      <c r="A19" s="106" t="s">
        <v>99</v>
      </c>
      <c r="B19" s="107" t="s">
        <v>22</v>
      </c>
      <c r="C19" s="107" t="s">
        <v>22</v>
      </c>
      <c r="D19" s="108" t="s">
        <v>22</v>
      </c>
      <c r="E19" s="109">
        <v>1099.0</v>
      </c>
      <c r="F19" s="110">
        <v>141.0</v>
      </c>
      <c r="G19" s="95">
        <v>0.0</v>
      </c>
      <c r="H19" s="104">
        <v>0.0</v>
      </c>
      <c r="I19" s="104">
        <v>0.0</v>
      </c>
      <c r="J19" s="34">
        <v>0.25</v>
      </c>
      <c r="K19" s="43">
        <f>IFERROR(__xludf.DUMMYFUNCTION("1 + J19 + IF(REGEXMATCH(D19, Staff_Bonuses[[#HEADERS],[Pe]]), Staff_Bonuses[Pe]) + IF(REGEXMATCH(D19, Staff_Bonuses[[#HEADERS],[Tr1]]), Staff_Bonuses[Tr1], 0) + IF(REGEXMATCH(D19, Staff_Bonuses[[#HEADERS],[Tr2]]), Staff_Bonuses[Tr2], 0) + IF(REGEXMATCH(D1"&amp;"9, B19), IF(REGEXMATCH(D19, Staff_Bonuses[[#HEADERS],[Py]]), Staff_Bonuses[Py], 0) + IF(REGEXMATCH(D19, Staff_Bonuses[[#HEADERS],[He]]), Staff_Bonuses[He], 0) + IF(REGEXMATCH(D19, Staff_Bonuses[[#HEADERS],[Vo]]), Staff_Bonuses[Vo], 0))"),1.45)</f>
        <v>1.45</v>
      </c>
      <c r="L19" s="44">
        <f>$K19 * E19 / Staff_Bonuses[Mag/Dmg]</f>
        <v>24.51615385</v>
      </c>
      <c r="M19" s="44">
        <f t="shared" si="1"/>
        <v>204.45</v>
      </c>
      <c r="N19" s="44">
        <f>IFERROR(__xludf.DUMMYFUNCTION("IF(G19&gt;0, ($L19+$M19) * G19 * ($K19 - IF(REGEXMATCH($D19, $B19), IF(REGEXMATCH($D19, Staff_Bonuses[[#HEADERS],[Py]]), Staff_Bonuses[Py],) + IF(REGEXMATCH($D19, Staff_Bonuses[[#HEADERS],[He]]), Staff_Bonuses[He],) + IF(REGEXMATCH($D19, Staff_Bonuses[[#HEAD"&amp;"ERS],[Vo]]), Staff_Bonuses[Vo],)) + IF(AND(REGEXMATCH($D19, $C19), REGEXMATCH($D19,Staff_Bonuses[[#HEADERS],[Py]])), Staff_Bonuses[Py],) ) / $K19, 0)"),0.0)</f>
        <v>0</v>
      </c>
      <c r="O19" s="44">
        <f>IFERROR(__xludf.DUMMYFUNCTION("IF(H19&gt;0, ($L19+$M19) * H19 * ($K19 - IF(REGEXMATCH($D19, $B19), IF(REGEXMATCH($D19, Staff_Bonuses[[#HEADERS],[Py]]), Staff_Bonuses[Py],) + IF(REGEXMATCH($D19, Staff_Bonuses[[#HEADERS],[He]]), Staff_Bonuses[He],) + IF(REGEXMATCH($D19, Staff_Bonuses[[#HEAD"&amp;"ERS],[Vo]]), Staff_Bonuses[Vo],)) + IF(AND(REGEXMATCH($D19, $C19), REGEXMATCH($D19,Staff_Bonuses[[#HEADERS],[He]])), Staff_Bonuses[He],) ) / $K19, 0)"),0.0)</f>
        <v>0</v>
      </c>
      <c r="P19" s="63">
        <f>IFERROR(__xludf.DUMMYFUNCTION("IF(I19&gt;0, ($L19+$M19) * I19 * ($K19 - IF(REGEXMATCH($D19, $B19), IF(REGEXMATCH($D19, Staff_Bonuses[[#HEADERS],[Py]]), Staff_Bonuses[Py],) + IF(REGEXMATCH($D19, Staff_Bonuses[[#HEADERS],[He]]), Staff_Bonuses[He],) + IF(REGEXMATCH($D19, Staff_Bonuses[[#HEAD"&amp;"ERS],[Vo]]), Staff_Bonuses[Vo],)) + IF(AND(REGEXMATCH($D19, $C19), REGEXMATCH($D19,Staff_Bonuses[[#HEADERS],[Vo]])), Staff_Bonuses[Vo],) ) / $K19, 0)"),0.0)</f>
        <v>0</v>
      </c>
      <c r="Q19" s="64">
        <f t="shared" si="5"/>
        <v>228.9661538</v>
      </c>
      <c r="R19" s="93">
        <v>229.0</v>
      </c>
      <c r="S19" s="69">
        <f t="shared" si="3"/>
        <v>0.0001477997985</v>
      </c>
      <c r="T19" s="71">
        <f>Q19 * Staff_Bonuses[Special
Mult]</f>
        <v>343.4492308</v>
      </c>
      <c r="U19" s="93"/>
      <c r="V19" s="72" t="str">
        <f t="shared" si="4"/>
        <v/>
      </c>
    </row>
    <row r="20" ht="22.5" customHeight="1">
      <c r="A20" s="106" t="s">
        <v>102</v>
      </c>
      <c r="B20" s="107" t="s">
        <v>22</v>
      </c>
      <c r="C20" s="107" t="s">
        <v>22</v>
      </c>
      <c r="D20" s="108" t="s">
        <v>97</v>
      </c>
      <c r="E20" s="109">
        <v>500.0</v>
      </c>
      <c r="F20" s="110">
        <v>81.0</v>
      </c>
      <c r="G20" s="95">
        <v>0.05</v>
      </c>
      <c r="H20" s="104">
        <v>0.05</v>
      </c>
      <c r="I20" s="104">
        <v>0.05</v>
      </c>
      <c r="J20" s="113">
        <v>0.0</v>
      </c>
      <c r="K20" s="43">
        <f>IFERROR(__xludf.DUMMYFUNCTION("1 + J20 + IF(REGEXMATCH(D20, Staff_Bonuses[[#HEADERS],[Pe]]), Staff_Bonuses[Pe]) + IF(REGEXMATCH(D20, Staff_Bonuses[[#HEADERS],[Tr1]]), Staff_Bonuses[Tr1], 0) + IF(REGEXMATCH(D20, Staff_Bonuses[[#HEADERS],[Tr2]]), Staff_Bonuses[Tr2], 0) + IF(REGEXMATCH(D2"&amp;"0, B20), IF(REGEXMATCH(D20, Staff_Bonuses[[#HEADERS],[Py]]), Staff_Bonuses[Py], 0) + IF(REGEXMATCH(D20, Staff_Bonuses[[#HEADERS],[He]]), Staff_Bonuses[He], 0) + IF(REGEXMATCH(D20, Staff_Bonuses[[#HEADERS],[Vo]]), Staff_Bonuses[Vo], 0))"),1.2000000000000002)</f>
        <v>1.2</v>
      </c>
      <c r="L20" s="44">
        <f>$K20 * E20 / Staff_Bonuses[Mag/Dmg]</f>
        <v>9.230769231</v>
      </c>
      <c r="M20" s="44">
        <f t="shared" si="1"/>
        <v>97.2</v>
      </c>
      <c r="N20" s="44">
        <f>IFERROR(__xludf.DUMMYFUNCTION("IF(G20&gt;0, ($L20+$M20) * G20 * ($K20 - IF(REGEXMATCH($D20, $B20), IF(REGEXMATCH($D20, Staff_Bonuses[[#HEADERS],[Py]]), Staff_Bonuses[Py],) + IF(REGEXMATCH($D20, Staff_Bonuses[[#HEADERS],[He]]), Staff_Bonuses[He],) + IF(REGEXMATCH($D20, Staff_Bonuses[[#HEAD"&amp;"ERS],[Vo]]), Staff_Bonuses[Vo],)) + IF(AND(REGEXMATCH($D20, $C20), REGEXMATCH($D20,Staff_Bonuses[[#HEADERS],[Py]])), Staff_Bonuses[Py],) ) / $K20, 0)"),5.321538461538463)</f>
        <v>5.321538462</v>
      </c>
      <c r="O20" s="44">
        <f>IFERROR(__xludf.DUMMYFUNCTION("IF(H20&gt;0, ($L20+$M20) * H20 * ($K20 - IF(REGEXMATCH($D20, $B20), IF(REGEXMATCH($D20, Staff_Bonuses[[#HEADERS],[Py]]), Staff_Bonuses[Py],) + IF(REGEXMATCH($D20, Staff_Bonuses[[#HEADERS],[He]]), Staff_Bonuses[He],) + IF(REGEXMATCH($D20, Staff_Bonuses[[#HEAD"&amp;"ERS],[Vo]]), Staff_Bonuses[Vo],)) + IF(AND(REGEXMATCH($D20, $C20), REGEXMATCH($D20,Staff_Bonuses[[#HEADERS],[He]])), Staff_Bonuses[He],) ) / $K20, 0)"),5.321538461538463)</f>
        <v>5.321538462</v>
      </c>
      <c r="P20" s="63">
        <f>IFERROR(__xludf.DUMMYFUNCTION("IF(I20&gt;0, ($L20+$M20) * I20 * ($K20 - IF(REGEXMATCH($D20, $B20), IF(REGEXMATCH($D20, Staff_Bonuses[[#HEADERS],[Py]]), Staff_Bonuses[Py],) + IF(REGEXMATCH($D20, Staff_Bonuses[[#HEADERS],[He]]), Staff_Bonuses[He],) + IF(REGEXMATCH($D20, Staff_Bonuses[[#HEAD"&amp;"ERS],[Vo]]), Staff_Bonuses[Vo],)) + IF(AND(REGEXMATCH($D20, $C20), REGEXMATCH($D20,Staff_Bonuses[[#HEADERS],[Vo]])), Staff_Bonuses[Vo],) ) / $K20, 0)"),5.321538461538463)</f>
        <v>5.321538462</v>
      </c>
      <c r="Q20" s="64">
        <f t="shared" si="5"/>
        <v>122.3953846</v>
      </c>
      <c r="R20" s="93">
        <v>123.0</v>
      </c>
      <c r="S20" s="69">
        <f t="shared" si="3"/>
        <v>0.004915572233</v>
      </c>
      <c r="T20" s="71">
        <f>Q20 * Staff_Bonuses[Special
Mult]</f>
        <v>183.5930769</v>
      </c>
      <c r="U20" s="93"/>
      <c r="V20" s="72" t="str">
        <f t="shared" si="4"/>
        <v/>
      </c>
    </row>
    <row r="21" ht="22.5" customHeight="1">
      <c r="A21" s="116" t="s">
        <v>102</v>
      </c>
      <c r="B21" s="100" t="s">
        <v>22</v>
      </c>
      <c r="C21" s="107" t="s">
        <v>22</v>
      </c>
      <c r="D21" s="101" t="s">
        <v>22</v>
      </c>
      <c r="E21" s="102">
        <v>486.0</v>
      </c>
      <c r="F21" s="119">
        <v>81.0</v>
      </c>
      <c r="G21" s="95">
        <v>0.05</v>
      </c>
      <c r="H21" s="104">
        <v>0.05</v>
      </c>
      <c r="I21" s="104">
        <v>0.05</v>
      </c>
      <c r="J21" s="122">
        <v>0.0</v>
      </c>
      <c r="K21" s="43">
        <f>IFERROR(__xludf.DUMMYFUNCTION("1 + J21 + IF(REGEXMATCH(D21, Staff_Bonuses[[#HEADERS],[Pe]]), Staff_Bonuses[Pe]) + IF(REGEXMATCH(D21, Staff_Bonuses[[#HEADERS],[Tr1]]), Staff_Bonuses[Tr1], 0) + IF(REGEXMATCH(D21, Staff_Bonuses[[#HEADERS],[Tr2]]), Staff_Bonuses[Tr2], 0) + IF(REGEXMATCH(D2"&amp;"1, B21), IF(REGEXMATCH(D21, Staff_Bonuses[[#HEADERS],[Py]]), Staff_Bonuses[Py], 0) + IF(REGEXMATCH(D21, Staff_Bonuses[[#HEADERS],[He]]), Staff_Bonuses[He], 0) + IF(REGEXMATCH(D21, Staff_Bonuses[[#HEADERS],[Vo]]), Staff_Bonuses[Vo], 0))"),1.2)</f>
        <v>1.2</v>
      </c>
      <c r="L21" s="44">
        <f>$K21 * E21 / Staff_Bonuses[Mag/Dmg]</f>
        <v>8.972307692</v>
      </c>
      <c r="M21" s="44">
        <f t="shared" si="1"/>
        <v>97.2</v>
      </c>
      <c r="N21" s="44">
        <f>IFERROR(__xludf.DUMMYFUNCTION("IF(G21&gt;0, ($L21+$M21) * G21 * ($K21 - IF(REGEXMATCH($D21, $B21), IF(REGEXMATCH($D21, Staff_Bonuses[[#HEADERS],[Py]]), Staff_Bonuses[Py],) + IF(REGEXMATCH($D21, Staff_Bonuses[[#HEADERS],[He]]), Staff_Bonuses[He],) + IF(REGEXMATCH($D21, Staff_Bonuses[[#HEAD"&amp;"ERS],[Vo]]), Staff_Bonuses[Vo],)) + IF(AND(REGEXMATCH($D21, $C21), REGEXMATCH($D21,Staff_Bonuses[[#HEADERS],[Py]])), Staff_Bonuses[Py],) ) / $K21, 0)"),5.308615384615385)</f>
        <v>5.308615385</v>
      </c>
      <c r="O21" s="44">
        <f>IFERROR(__xludf.DUMMYFUNCTION("IF(H21&gt;0, ($L21+$M21) * H21 * ($K21 - IF(REGEXMATCH($D21, $B21), IF(REGEXMATCH($D21, Staff_Bonuses[[#HEADERS],[Py]]), Staff_Bonuses[Py],) + IF(REGEXMATCH($D21, Staff_Bonuses[[#HEADERS],[He]]), Staff_Bonuses[He],) + IF(REGEXMATCH($D21, Staff_Bonuses[[#HEAD"&amp;"ERS],[Vo]]), Staff_Bonuses[Vo],)) + IF(AND(REGEXMATCH($D21, $C21), REGEXMATCH($D21,Staff_Bonuses[[#HEADERS],[He]])), Staff_Bonuses[He],) ) / $K21, 0)"),4.423846153846155)</f>
        <v>4.423846154</v>
      </c>
      <c r="P21" s="63">
        <f>IFERROR(__xludf.DUMMYFUNCTION("IF(I21&gt;0, ($L21+$M21) * I21 * ($K21 - IF(REGEXMATCH($D21, $B21), IF(REGEXMATCH($D21, Staff_Bonuses[[#HEADERS],[Py]]), Staff_Bonuses[Py],) + IF(REGEXMATCH($D21, Staff_Bonuses[[#HEADERS],[He]]), Staff_Bonuses[He],) + IF(REGEXMATCH($D21, Staff_Bonuses[[#HEAD"&amp;"ERS],[Vo]]), Staff_Bonuses[Vo],)) + IF(AND(REGEXMATCH($D21, $C21), REGEXMATCH($D21,Staff_Bonuses[[#HEADERS],[Vo]])), Staff_Bonuses[Vo],) ) / $K21, 0)"),4.423846153846155)</f>
        <v>4.423846154</v>
      </c>
      <c r="Q21" s="64">
        <f t="shared" si="5"/>
        <v>120.3286154</v>
      </c>
      <c r="R21" s="93">
        <v>121.0</v>
      </c>
      <c r="S21" s="69">
        <f t="shared" si="3"/>
        <v>0.005548633185</v>
      </c>
      <c r="T21" s="71">
        <f>Q21 * Staff_Bonuses[Special
Mult]</f>
        <v>180.4929231</v>
      </c>
      <c r="U21" s="93"/>
      <c r="V21" s="72" t="str">
        <f t="shared" si="4"/>
        <v/>
      </c>
    </row>
    <row r="22" ht="22.5" customHeight="1">
      <c r="A22" s="106" t="s">
        <v>102</v>
      </c>
      <c r="B22" s="107" t="s">
        <v>22</v>
      </c>
      <c r="C22" s="107" t="s">
        <v>22</v>
      </c>
      <c r="D22" s="108" t="s">
        <v>97</v>
      </c>
      <c r="E22" s="109">
        <v>500.0</v>
      </c>
      <c r="F22" s="110">
        <v>81.0</v>
      </c>
      <c r="G22" s="95">
        <v>0.05</v>
      </c>
      <c r="H22" s="104">
        <v>0.05</v>
      </c>
      <c r="I22" s="104">
        <v>0.05</v>
      </c>
      <c r="J22" s="136">
        <v>0.25</v>
      </c>
      <c r="K22" s="43">
        <f>IFERROR(__xludf.DUMMYFUNCTION("1 + J22 + IF(REGEXMATCH(D22, Staff_Bonuses[[#HEADERS],[Pe]]), Staff_Bonuses[Pe]) + IF(REGEXMATCH(D22, Staff_Bonuses[[#HEADERS],[Tr1]]), Staff_Bonuses[Tr1], 0) + IF(REGEXMATCH(D22, Staff_Bonuses[[#HEADERS],[Tr2]]), Staff_Bonuses[Tr2], 0) + IF(REGEXMATCH(D2"&amp;"2, B22), IF(REGEXMATCH(D22, Staff_Bonuses[[#HEADERS],[Py]]), Staff_Bonuses[Py], 0) + IF(REGEXMATCH(D22, Staff_Bonuses[[#HEADERS],[He]]), Staff_Bonuses[He], 0) + IF(REGEXMATCH(D22, Staff_Bonuses[[#HEADERS],[Vo]]), Staff_Bonuses[Vo], 0))"),1.4500000000000002)</f>
        <v>1.45</v>
      </c>
      <c r="L22" s="44">
        <f>$K22 * E22 / Staff_Bonuses[Mag/Dmg]</f>
        <v>11.15384615</v>
      </c>
      <c r="M22" s="44">
        <f t="shared" si="1"/>
        <v>117.45</v>
      </c>
      <c r="N22" s="44">
        <f>IFERROR(__xludf.DUMMYFUNCTION("IF(G22&gt;0, ($L22+$M22) * G22 * ($K22 - IF(REGEXMATCH($D22, $B22), IF(REGEXMATCH($D22, Staff_Bonuses[[#HEADERS],[Py]]), Staff_Bonuses[Py],) + IF(REGEXMATCH($D22, Staff_Bonuses[[#HEADERS],[He]]), Staff_Bonuses[He],) + IF(REGEXMATCH($D22, Staff_Bonuses[[#HEAD"&amp;"ERS],[Vo]]), Staff_Bonuses[Vo],)) + IF(AND(REGEXMATCH($D22, $C22), REGEXMATCH($D22,Staff_Bonuses[[#HEADERS],[Py]])), Staff_Bonuses[Py],) ) / $K22, 0)"),6.430192307692308)</f>
        <v>6.430192308</v>
      </c>
      <c r="O22" s="44">
        <f>IFERROR(__xludf.DUMMYFUNCTION("IF(H22&gt;0, ($L22+$M22) * H22 * ($K22 - IF(REGEXMATCH($D22, $B22), IF(REGEXMATCH($D22, Staff_Bonuses[[#HEADERS],[Py]]), Staff_Bonuses[Py],) + IF(REGEXMATCH($D22, Staff_Bonuses[[#HEADERS],[He]]), Staff_Bonuses[He],) + IF(REGEXMATCH($D22, Staff_Bonuses[[#HEAD"&amp;"ERS],[Vo]]), Staff_Bonuses[Vo],)) + IF(AND(REGEXMATCH($D22, $C22), REGEXMATCH($D22,Staff_Bonuses[[#HEADERS],[He]])), Staff_Bonuses[He],) ) / $K22, 0)"),6.430192307692308)</f>
        <v>6.430192308</v>
      </c>
      <c r="P22" s="63">
        <f>IFERROR(__xludf.DUMMYFUNCTION("IF(I22&gt;0, ($L22+$M22) * I22 * ($K22 - IF(REGEXMATCH($D22, $B22), IF(REGEXMATCH($D22, Staff_Bonuses[[#HEADERS],[Py]]), Staff_Bonuses[Py],) + IF(REGEXMATCH($D22, Staff_Bonuses[[#HEADERS],[He]]), Staff_Bonuses[He],) + IF(REGEXMATCH($D22, Staff_Bonuses[[#HEAD"&amp;"ERS],[Vo]]), Staff_Bonuses[Vo],)) + IF(AND(REGEXMATCH($D22, $C22), REGEXMATCH($D22,Staff_Bonuses[[#HEADERS],[Vo]])), Staff_Bonuses[Vo],) ) / $K22, 0)"),6.430192307692308)</f>
        <v>6.430192308</v>
      </c>
      <c r="Q22" s="64">
        <f t="shared" si="5"/>
        <v>147.8944231</v>
      </c>
      <c r="R22" s="93">
        <v>148.0</v>
      </c>
      <c r="S22" s="69">
        <f t="shared" si="3"/>
        <v>0.0007133575884</v>
      </c>
      <c r="T22" s="71">
        <f>Q22 * Staff_Bonuses[Special
Mult]</f>
        <v>221.8416346</v>
      </c>
      <c r="U22" s="93"/>
      <c r="V22" s="72" t="str">
        <f t="shared" si="4"/>
        <v/>
      </c>
    </row>
    <row r="23" ht="22.5" customHeight="1">
      <c r="A23" s="116" t="s">
        <v>102</v>
      </c>
      <c r="B23" s="100" t="s">
        <v>22</v>
      </c>
      <c r="C23" s="107" t="s">
        <v>22</v>
      </c>
      <c r="D23" s="101" t="s">
        <v>22</v>
      </c>
      <c r="E23" s="102">
        <v>486.0</v>
      </c>
      <c r="F23" s="119">
        <v>81.0</v>
      </c>
      <c r="G23" s="95">
        <v>0.05</v>
      </c>
      <c r="H23" s="104">
        <v>0.05</v>
      </c>
      <c r="I23" s="104">
        <v>0.05</v>
      </c>
      <c r="J23" s="161">
        <v>0.25</v>
      </c>
      <c r="K23" s="43">
        <f>IFERROR(__xludf.DUMMYFUNCTION("1 + J23 + IF(REGEXMATCH(D23, Staff_Bonuses[[#HEADERS],[Pe]]), Staff_Bonuses[Pe]) + IF(REGEXMATCH(D23, Staff_Bonuses[[#HEADERS],[Tr1]]), Staff_Bonuses[Tr1], 0) + IF(REGEXMATCH(D23, Staff_Bonuses[[#HEADERS],[Tr2]]), Staff_Bonuses[Tr2], 0) + IF(REGEXMATCH(D2"&amp;"3, B23), IF(REGEXMATCH(D23, Staff_Bonuses[[#HEADERS],[Py]]), Staff_Bonuses[Py], 0) + IF(REGEXMATCH(D23, Staff_Bonuses[[#HEADERS],[He]]), Staff_Bonuses[He], 0) + IF(REGEXMATCH(D23, Staff_Bonuses[[#HEADERS],[Vo]]), Staff_Bonuses[Vo], 0))"),1.45)</f>
        <v>1.45</v>
      </c>
      <c r="L23" s="44">
        <f>$K23 * E23 / Staff_Bonuses[Mag/Dmg]</f>
        <v>10.84153846</v>
      </c>
      <c r="M23" s="44">
        <f t="shared" si="1"/>
        <v>117.45</v>
      </c>
      <c r="N23" s="44">
        <f>IFERROR(__xludf.DUMMYFUNCTION("IF(G23&gt;0, ($L23+$M23) * G23 * ($K23 - IF(REGEXMATCH($D23, $B23), IF(REGEXMATCH($D23, Staff_Bonuses[[#HEADERS],[Py]]), Staff_Bonuses[Py],) + IF(REGEXMATCH($D23, Staff_Bonuses[[#HEADERS],[He]]), Staff_Bonuses[He],) + IF(REGEXMATCH($D23, Staff_Bonuses[[#HEAD"&amp;"ERS],[Vo]]), Staff_Bonuses[Vo],)) + IF(AND(REGEXMATCH($D23, $C23), REGEXMATCH($D23,Staff_Bonuses[[#HEADERS],[Py]])), Staff_Bonuses[Py],) ) / $K23, 0)"),6.414576923076923)</f>
        <v>6.414576923</v>
      </c>
      <c r="O23" s="44">
        <f>IFERROR(__xludf.DUMMYFUNCTION("IF(H23&gt;0, ($L23+$M23) * H23 * ($K23 - IF(REGEXMATCH($D23, $B23), IF(REGEXMATCH($D23, Staff_Bonuses[[#HEADERS],[Py]]), Staff_Bonuses[Py],) + IF(REGEXMATCH($D23, Staff_Bonuses[[#HEADERS],[He]]), Staff_Bonuses[He],) + IF(REGEXMATCH($D23, Staff_Bonuses[[#HEAD"&amp;"ERS],[Vo]]), Staff_Bonuses[Vo],)) + IF(AND(REGEXMATCH($D23, $C23), REGEXMATCH($D23,Staff_Bonuses[[#HEADERS],[He]])), Staff_Bonuses[He],) ) / $K23, 0)"),5.529807692307693)</f>
        <v>5.529807692</v>
      </c>
      <c r="P23" s="63">
        <f>IFERROR(__xludf.DUMMYFUNCTION("IF(I23&gt;0, ($L23+$M23) * I23 * ($K23 - IF(REGEXMATCH($D23, $B23), IF(REGEXMATCH($D23, Staff_Bonuses[[#HEADERS],[Py]]), Staff_Bonuses[Py],) + IF(REGEXMATCH($D23, Staff_Bonuses[[#HEADERS],[He]]), Staff_Bonuses[He],) + IF(REGEXMATCH($D23, Staff_Bonuses[[#HEAD"&amp;"ERS],[Vo]]), Staff_Bonuses[Vo],)) + IF(AND(REGEXMATCH($D23, $C23), REGEXMATCH($D23,Staff_Bonuses[[#HEADERS],[Vo]])), Staff_Bonuses[Vo],) ) / $K23, 0)"),5.529807692307693)</f>
        <v>5.529807692</v>
      </c>
      <c r="Q23" s="64">
        <f t="shared" si="5"/>
        <v>145.7657308</v>
      </c>
      <c r="R23" s="93">
        <v>146.0</v>
      </c>
      <c r="S23" s="69">
        <f t="shared" si="3"/>
        <v>0.001604583772</v>
      </c>
      <c r="T23" s="71">
        <f>Q23 * Staff_Bonuses[Special
Mult]</f>
        <v>218.6485962</v>
      </c>
      <c r="U23" s="93"/>
      <c r="V23" s="72" t="str">
        <f t="shared" si="4"/>
        <v/>
      </c>
    </row>
    <row r="24" ht="22.5" customHeight="1">
      <c r="A24" s="106" t="s">
        <v>102</v>
      </c>
      <c r="B24" s="107" t="s">
        <v>22</v>
      </c>
      <c r="C24" s="107" t="s">
        <v>22</v>
      </c>
      <c r="D24" s="108" t="s">
        <v>97</v>
      </c>
      <c r="E24" s="109">
        <v>924.0</v>
      </c>
      <c r="F24" s="110">
        <v>81.0</v>
      </c>
      <c r="G24" s="95">
        <v>0.05</v>
      </c>
      <c r="H24" s="104">
        <v>0.05</v>
      </c>
      <c r="I24" s="104">
        <v>0.05</v>
      </c>
      <c r="J24" s="136">
        <v>0.25</v>
      </c>
      <c r="K24" s="43">
        <f>IFERROR(__xludf.DUMMYFUNCTION("1 + J24 + IF(REGEXMATCH(D24, Staff_Bonuses[[#HEADERS],[Pe]]), Staff_Bonuses[Pe]) + IF(REGEXMATCH(D24, Staff_Bonuses[[#HEADERS],[Tr1]]), Staff_Bonuses[Tr1], 0) + IF(REGEXMATCH(D24, Staff_Bonuses[[#HEADERS],[Tr2]]), Staff_Bonuses[Tr2], 0) + IF(REGEXMATCH(D2"&amp;"4, B24), IF(REGEXMATCH(D24, Staff_Bonuses[[#HEADERS],[Py]]), Staff_Bonuses[Py], 0) + IF(REGEXMATCH(D24, Staff_Bonuses[[#HEADERS],[He]]), Staff_Bonuses[He], 0) + IF(REGEXMATCH(D24, Staff_Bonuses[[#HEADERS],[Vo]]), Staff_Bonuses[Vo], 0))"),1.4500000000000002)</f>
        <v>1.45</v>
      </c>
      <c r="L24" s="44">
        <f>$K24 * E24 / Staff_Bonuses[Mag/Dmg]</f>
        <v>20.61230769</v>
      </c>
      <c r="M24" s="44">
        <f t="shared" si="1"/>
        <v>117.45</v>
      </c>
      <c r="N24" s="44">
        <f>IFERROR(__xludf.DUMMYFUNCTION("IF(G24&gt;0, ($L24+$M24) * G24 * ($K24 - IF(REGEXMATCH($D24, $B24), IF(REGEXMATCH($D24, Staff_Bonuses[[#HEADERS],[Py]]), Staff_Bonuses[Py],) + IF(REGEXMATCH($D24, Staff_Bonuses[[#HEADERS],[He]]), Staff_Bonuses[He],) + IF(REGEXMATCH($D24, Staff_Bonuses[[#HEAD"&amp;"ERS],[Vo]]), Staff_Bonuses[Vo],)) + IF(AND(REGEXMATCH($D24, $C24), REGEXMATCH($D24,Staff_Bonuses[[#HEADERS],[Py]])), Staff_Bonuses[Py],) ) / $K24, 0)"),6.903115384615386)</f>
        <v>6.903115385</v>
      </c>
      <c r="O24" s="44">
        <f>IFERROR(__xludf.DUMMYFUNCTION("IF(H24&gt;0, ($L24+$M24) * H24 * ($K24 - IF(REGEXMATCH($D24, $B24), IF(REGEXMATCH($D24, Staff_Bonuses[[#HEADERS],[Py]]), Staff_Bonuses[Py],) + IF(REGEXMATCH($D24, Staff_Bonuses[[#HEADERS],[He]]), Staff_Bonuses[He],) + IF(REGEXMATCH($D24, Staff_Bonuses[[#HEAD"&amp;"ERS],[Vo]]), Staff_Bonuses[Vo],)) + IF(AND(REGEXMATCH($D24, $C24), REGEXMATCH($D24,Staff_Bonuses[[#HEADERS],[He]])), Staff_Bonuses[He],) ) / $K24, 0)"),6.903115384615386)</f>
        <v>6.903115385</v>
      </c>
      <c r="P24" s="63">
        <f>IFERROR(__xludf.DUMMYFUNCTION("IF(I24&gt;0, ($L24+$M24) * I24 * ($K24 - IF(REGEXMATCH($D24, $B24), IF(REGEXMATCH($D24, Staff_Bonuses[[#HEADERS],[Py]]), Staff_Bonuses[Py],) + IF(REGEXMATCH($D24, Staff_Bonuses[[#HEADERS],[He]]), Staff_Bonuses[He],) + IF(REGEXMATCH($D24, Staff_Bonuses[[#HEAD"&amp;"ERS],[Vo]]), Staff_Bonuses[Vo],)) + IF(AND(REGEXMATCH($D24, $C24), REGEXMATCH($D24,Staff_Bonuses[[#HEADERS],[Vo]])), Staff_Bonuses[Vo],) ) / $K24, 0)"),6.903115384615386)</f>
        <v>6.903115385</v>
      </c>
      <c r="Q24" s="64">
        <f t="shared" si="5"/>
        <v>158.7716538</v>
      </c>
      <c r="R24" s="93">
        <v>159.0</v>
      </c>
      <c r="S24" s="69">
        <f t="shared" si="3"/>
        <v>0.001436139332</v>
      </c>
      <c r="T24" s="71">
        <f>Q24 * Staff_Bonuses[Special
Mult]</f>
        <v>238.1574808</v>
      </c>
      <c r="U24" s="93"/>
      <c r="V24" s="72" t="str">
        <f t="shared" si="4"/>
        <v/>
      </c>
    </row>
    <row r="25" ht="22.5" customHeight="1">
      <c r="A25" s="97" t="s">
        <v>102</v>
      </c>
      <c r="B25" s="180" t="s">
        <v>22</v>
      </c>
      <c r="C25" s="180" t="s">
        <v>22</v>
      </c>
      <c r="D25" s="97" t="s">
        <v>22</v>
      </c>
      <c r="E25" s="93">
        <v>910.0</v>
      </c>
      <c r="F25" s="97">
        <v>81.0</v>
      </c>
      <c r="G25" s="89">
        <v>0.05</v>
      </c>
      <c r="H25" s="181">
        <v>0.05</v>
      </c>
      <c r="I25" s="181">
        <v>0.05</v>
      </c>
      <c r="J25" s="182">
        <v>0.25</v>
      </c>
      <c r="K25" s="43">
        <f>IFERROR(__xludf.DUMMYFUNCTION("1 + J25 + IF(REGEXMATCH(D25, Staff_Bonuses[[#HEADERS],[Pe]]), Staff_Bonuses[Pe]) + IF(REGEXMATCH(D25, Staff_Bonuses[[#HEADERS],[Tr1]]), Staff_Bonuses[Tr1], 0) + IF(REGEXMATCH(D25, Staff_Bonuses[[#HEADERS],[Tr2]]), Staff_Bonuses[Tr2], 0) + IF(REGEXMATCH(D2"&amp;"5, B25), IF(REGEXMATCH(D25, Staff_Bonuses[[#HEADERS],[Py]]), Staff_Bonuses[Py], 0) + IF(REGEXMATCH(D25, Staff_Bonuses[[#HEADERS],[He]]), Staff_Bonuses[He], 0) + IF(REGEXMATCH(D25, Staff_Bonuses[[#HEADERS],[Vo]]), Staff_Bonuses[Vo], 0))"),1.45)</f>
        <v>1.45</v>
      </c>
      <c r="L25" s="44">
        <f>$K25 * E25 / Staff_Bonuses[Mag/Dmg]</f>
        <v>20.3</v>
      </c>
      <c r="M25" s="44">
        <f t="shared" si="1"/>
        <v>117.45</v>
      </c>
      <c r="N25" s="44">
        <f>IFERROR(__xludf.DUMMYFUNCTION("IF(G25&gt;0, ($L25+$M25) * G25 * ($K25 - IF(REGEXMATCH($D25, $B25), IF(REGEXMATCH($D25, Staff_Bonuses[[#HEADERS],[Py]]), Staff_Bonuses[Py],) + IF(REGEXMATCH($D25, Staff_Bonuses[[#HEADERS],[He]]), Staff_Bonuses[He],) + IF(REGEXMATCH($D25, Staff_Bonuses[[#HEAD"&amp;"ERS],[Vo]]), Staff_Bonuses[Vo],)) + IF(AND(REGEXMATCH($D25, $C25), REGEXMATCH($D25,Staff_Bonuses[[#HEADERS],[Py]])), Staff_Bonuses[Py],) ) / $K25, 0)"),6.8875)</f>
        <v>6.8875</v>
      </c>
      <c r="O25" s="44">
        <f>IFERROR(__xludf.DUMMYFUNCTION("IF(H25&gt;0, ($L25+$M25) * H25 * ($K25 - IF(REGEXMATCH($D25, $B25), IF(REGEXMATCH($D25, Staff_Bonuses[[#HEADERS],[Py]]), Staff_Bonuses[Py],) + IF(REGEXMATCH($D25, Staff_Bonuses[[#HEADERS],[He]]), Staff_Bonuses[He],) + IF(REGEXMATCH($D25, Staff_Bonuses[[#HEAD"&amp;"ERS],[Vo]]), Staff_Bonuses[Vo],)) + IF(AND(REGEXMATCH($D25, $C25), REGEXMATCH($D25,Staff_Bonuses[[#HEADERS],[He]])), Staff_Bonuses[He],) ) / $K25, 0)"),5.9375)</f>
        <v>5.9375</v>
      </c>
      <c r="P25" s="63">
        <f>IFERROR(__xludf.DUMMYFUNCTION("IF(I25&gt;0, ($L25+$M25) * I25 * ($K25 - IF(REGEXMATCH($D25, $B25), IF(REGEXMATCH($D25, Staff_Bonuses[[#HEADERS],[Py]]), Staff_Bonuses[Py],) + IF(REGEXMATCH($D25, Staff_Bonuses[[#HEADERS],[He]]), Staff_Bonuses[He],) + IF(REGEXMATCH($D25, Staff_Bonuses[[#HEAD"&amp;"ERS],[Vo]]), Staff_Bonuses[Vo],)) + IF(AND(REGEXMATCH($D25, $C25), REGEXMATCH($D25,Staff_Bonuses[[#HEADERS],[Vo]])), Staff_Bonuses[Vo],) ) / $K25, 0)"),5.9375)</f>
        <v>5.9375</v>
      </c>
      <c r="Q25" s="64">
        <f t="shared" si="5"/>
        <v>156.5125</v>
      </c>
      <c r="R25" s="93">
        <v>156.0</v>
      </c>
      <c r="S25" s="69">
        <f t="shared" si="3"/>
        <v>0.00328525641</v>
      </c>
      <c r="T25" s="71">
        <f>Q25 * Staff_Bonuses[Special
Mult]</f>
        <v>234.76875</v>
      </c>
      <c r="U25" s="93"/>
      <c r="V25" s="72" t="str">
        <f t="shared" si="4"/>
        <v/>
      </c>
    </row>
    <row r="26" ht="22.5" customHeight="1">
      <c r="A26" s="27" t="s">
        <v>105</v>
      </c>
      <c r="B26" s="27" t="s">
        <v>22</v>
      </c>
      <c r="C26" s="27" t="s">
        <v>22</v>
      </c>
      <c r="D26" s="27" t="s">
        <v>91</v>
      </c>
      <c r="E26" s="27">
        <v>844.0</v>
      </c>
      <c r="F26" s="27">
        <v>53.0</v>
      </c>
      <c r="G26" s="31">
        <v>0.0</v>
      </c>
      <c r="H26" s="33">
        <v>0.2</v>
      </c>
      <c r="I26" s="33">
        <v>0.0</v>
      </c>
      <c r="J26" s="34">
        <v>0.25</v>
      </c>
      <c r="K26" s="43">
        <f>IFERROR(__xludf.DUMMYFUNCTION("1 + J26 + IF(REGEXMATCH(D26, Staff_Bonuses[[#HEADERS],[Pe]]), Staff_Bonuses[Pe]) + IF(REGEXMATCH(D26, Staff_Bonuses[[#HEADERS],[Tr1]]), Staff_Bonuses[Tr1], 0) + IF(REGEXMATCH(D26, Staff_Bonuses[[#HEADERS],[Tr2]]), Staff_Bonuses[Tr2], 0) + IF(REGEXMATCH(D2"&amp;"6, B26), IF(REGEXMATCH(D26, Staff_Bonuses[[#HEADERS],[Py]]), Staff_Bonuses[Py], 0) + IF(REGEXMATCH(D26, Staff_Bonuses[[#HEADERS],[He]]), Staff_Bonuses[He], 0) + IF(REGEXMATCH(D26, Staff_Bonuses[[#HEADERS],[Vo]]), Staff_Bonuses[Vo], 0))"),1.65)</f>
        <v>1.65</v>
      </c>
      <c r="L26" s="44">
        <f>$K26 * E26 / Staff_Bonuses[Mag/Dmg]</f>
        <v>21.42461538</v>
      </c>
      <c r="M26" s="44">
        <f t="shared" si="1"/>
        <v>87.45</v>
      </c>
      <c r="N26" s="44">
        <f>IFERROR(__xludf.DUMMYFUNCTION("IF(G26&gt;0, ($L26+$M26) * G26 * ($K26 - IF(REGEXMATCH($D26, $B26), IF(REGEXMATCH($D26, Staff_Bonuses[[#HEADERS],[Py]]), Staff_Bonuses[Py],) + IF(REGEXMATCH($D26, Staff_Bonuses[[#HEADERS],[He]]), Staff_Bonuses[He],) + IF(REGEXMATCH($D26, Staff_Bonuses[[#HEAD"&amp;"ERS],[Vo]]), Staff_Bonuses[Vo],)) + IF(AND(REGEXMATCH($D26, $C26), REGEXMATCH($D26,Staff_Bonuses[[#HEADERS],[Py]])), Staff_Bonuses[Py],) ) / $K26, 0)"),0.0)</f>
        <v>0</v>
      </c>
      <c r="O26" s="44">
        <f>IFERROR(__xludf.DUMMYFUNCTION("IF(H26&gt;0, ($L26+$M26) * H26 * ($K26 - IF(REGEXMATCH($D26, $B26), IF(REGEXMATCH($D26, Staff_Bonuses[[#HEADERS],[Py]]), Staff_Bonuses[Py],) + IF(REGEXMATCH($D26, Staff_Bonuses[[#HEADERS],[He]]), Staff_Bonuses[He],) + IF(REGEXMATCH($D26, Staff_Bonuses[[#HEAD"&amp;"ERS],[Vo]]), Staff_Bonuses[Vo],)) + IF(AND(REGEXMATCH($D26, $C26), REGEXMATCH($D26,Staff_Bonuses[[#HEADERS],[He]])), Staff_Bonuses[He],) ) / $K26, 0)"),19.13553846153846)</f>
        <v>19.13553846</v>
      </c>
      <c r="P26" s="63">
        <f>IFERROR(__xludf.DUMMYFUNCTION("IF(I26&gt;0, ($L26+$M26) * I26 * ($K26 - IF(REGEXMATCH($D26, $B26), IF(REGEXMATCH($D26, Staff_Bonuses[[#HEADERS],[Py]]), Staff_Bonuses[Py],) + IF(REGEXMATCH($D26, Staff_Bonuses[[#HEADERS],[He]]), Staff_Bonuses[He],) + IF(REGEXMATCH($D26, Staff_Bonuses[[#HEAD"&amp;"ERS],[Vo]]), Staff_Bonuses[Vo],)) + IF(AND(REGEXMATCH($D26, $C26), REGEXMATCH($D26,Staff_Bonuses[[#HEADERS],[Vo]])), Staff_Bonuses[Vo],) ) / $K26, 0)"),0.0)</f>
        <v>0</v>
      </c>
      <c r="Q26" s="64">
        <f t="shared" si="5"/>
        <v>128.0101538</v>
      </c>
      <c r="R26" s="93">
        <v>128.0</v>
      </c>
      <c r="S26" s="69">
        <f t="shared" si="3"/>
        <v>0.00007932692308</v>
      </c>
      <c r="T26" s="71">
        <f>Q26 * Staff_Bonuses[Special
Mult]</f>
        <v>192.0152308</v>
      </c>
      <c r="U26" s="93"/>
      <c r="V26" s="72" t="str">
        <f t="shared" si="4"/>
        <v/>
      </c>
    </row>
    <row r="27" ht="22.5" customHeight="1">
      <c r="A27" s="106" t="s">
        <v>109</v>
      </c>
      <c r="B27" s="108" t="s">
        <v>22</v>
      </c>
      <c r="C27" s="27" t="s">
        <v>22</v>
      </c>
      <c r="D27" s="27" t="s">
        <v>91</v>
      </c>
      <c r="E27" s="109">
        <v>806.0</v>
      </c>
      <c r="F27" s="110">
        <v>41.0</v>
      </c>
      <c r="G27" s="31">
        <v>0.0</v>
      </c>
      <c r="H27" s="33">
        <v>0.1</v>
      </c>
      <c r="I27" s="33">
        <v>0.0</v>
      </c>
      <c r="J27" s="34">
        <v>0.25</v>
      </c>
      <c r="K27" s="90">
        <f>IFERROR(__xludf.DUMMYFUNCTION("1 + J27 + IF(REGEXMATCH(D27, Staff_Bonuses[[#HEADERS],[Pe]]), Staff_Bonuses[Pe]) + IF(REGEXMATCH(D27, Staff_Bonuses[[#HEADERS],[Tr1]]), Staff_Bonuses[Tr1], 0) + IF(REGEXMATCH(D27, Staff_Bonuses[[#HEADERS],[Tr2]]), Staff_Bonuses[Tr2], 0) + IF(REGEXMATCH(D2"&amp;"7, B27), IF(REGEXMATCH(D27, Staff_Bonuses[[#HEADERS],[Py]]), Staff_Bonuses[Py], 0) + IF(REGEXMATCH(D27, Staff_Bonuses[[#HEADERS],[He]]), Staff_Bonuses[He], 0) + IF(REGEXMATCH(D27, Staff_Bonuses[[#HEADERS],[Vo]]), Staff_Bonuses[Vo], 0))"),1.65)</f>
        <v>1.65</v>
      </c>
      <c r="L27" s="44">
        <f>$K27 * E27 / Staff_Bonuses[Mag/Dmg]</f>
        <v>20.46</v>
      </c>
      <c r="M27" s="44">
        <f t="shared" si="1"/>
        <v>67.65</v>
      </c>
      <c r="N27" s="44">
        <f>IFERROR(__xludf.DUMMYFUNCTION("IF(G27&gt;0, ($L27+$M27) * G27 * ($K27 - IF(REGEXMATCH($D27, $B27), IF(REGEXMATCH($D27, Staff_Bonuses[[#HEADERS],[Py]]), Staff_Bonuses[Py],) + IF(REGEXMATCH($D27, Staff_Bonuses[[#HEADERS],[He]]), Staff_Bonuses[He],) + IF(REGEXMATCH($D27, Staff_Bonuses[[#HEAD"&amp;"ERS],[Vo]]), Staff_Bonuses[Vo],)) + IF(AND(REGEXMATCH($D27, $C27), REGEXMATCH($D27,Staff_Bonuses[[#HEADERS],[Py]])), Staff_Bonuses[Py],) ) / $K27, 0)"),0.0)</f>
        <v>0</v>
      </c>
      <c r="O27" s="44">
        <f>IFERROR(__xludf.DUMMYFUNCTION("IF(H27&gt;0, ($L27+$M27) * H27 * ($K27 - IF(REGEXMATCH($D27, $B27), IF(REGEXMATCH($D27, Staff_Bonuses[[#HEADERS],[Py]]), Staff_Bonuses[Py],) + IF(REGEXMATCH($D27, Staff_Bonuses[[#HEADERS],[He]]), Staff_Bonuses[He],) + IF(REGEXMATCH($D27, Staff_Bonuses[[#HEAD"&amp;"ERS],[Vo]]), Staff_Bonuses[Vo],)) + IF(AND(REGEXMATCH($D27, $C27), REGEXMATCH($D27,Staff_Bonuses[[#HEADERS],[He]])), Staff_Bonuses[He],) ) / $K27, 0)"),7.7429999999999986)</f>
        <v>7.743</v>
      </c>
      <c r="P27" s="63">
        <f>IFERROR(__xludf.DUMMYFUNCTION("IF(I27&gt;0, ($L27+$M27) * I27 * ($K27 - IF(REGEXMATCH($D27, $B27), IF(REGEXMATCH($D27, Staff_Bonuses[[#HEADERS],[Py]]), Staff_Bonuses[Py],) + IF(REGEXMATCH($D27, Staff_Bonuses[[#HEADERS],[He]]), Staff_Bonuses[He],) + IF(REGEXMATCH($D27, Staff_Bonuses[[#HEAD"&amp;"ERS],[Vo]]), Staff_Bonuses[Vo],)) + IF(AND(REGEXMATCH($D27, $C27), REGEXMATCH($D27,Staff_Bonuses[[#HEADERS],[Vo]])), Staff_Bonuses[Vo],) ) / $K27, 0)"),0.0)</f>
        <v>0</v>
      </c>
      <c r="Q27" s="92">
        <f t="shared" si="5"/>
        <v>95.853</v>
      </c>
      <c r="R27" s="93">
        <v>96.0</v>
      </c>
      <c r="S27" s="69">
        <f t="shared" si="3"/>
        <v>0.00153125</v>
      </c>
      <c r="T27" s="93">
        <f>Q27 * Staff_Bonuses[Special
Mult]</f>
        <v>143.7795</v>
      </c>
      <c r="U27" s="93"/>
      <c r="V27" s="72" t="str">
        <f t="shared" si="4"/>
        <v/>
      </c>
    </row>
    <row r="28" ht="22.5" customHeight="1">
      <c r="A28" s="209" t="s">
        <v>109</v>
      </c>
      <c r="B28" s="211" t="s">
        <v>22</v>
      </c>
      <c r="C28" s="212" t="s">
        <v>22</v>
      </c>
      <c r="D28" s="212" t="s">
        <v>91</v>
      </c>
      <c r="E28" s="213">
        <v>806.0</v>
      </c>
      <c r="F28" s="215">
        <v>41.0</v>
      </c>
      <c r="G28" s="217">
        <v>0.0</v>
      </c>
      <c r="H28" s="219">
        <v>0.0</v>
      </c>
      <c r="I28" s="219">
        <v>0.0</v>
      </c>
      <c r="J28" s="222">
        <v>0.25</v>
      </c>
      <c r="K28" s="200">
        <f>IFERROR(__xludf.DUMMYFUNCTION("1 + J28 + IF(REGEXMATCH(D28, Staff_Bonuses[[#HEADERS],[Pe]]), Staff_Bonuses[Pe]) + IF(REGEXMATCH(D28, Staff_Bonuses[[#HEADERS],[Tr1]]), Staff_Bonuses[Tr1], 0) + IF(REGEXMATCH(D28, Staff_Bonuses[[#HEADERS],[Tr2]]), Staff_Bonuses[Tr2], 0) + IF(REGEXMATCH(D2"&amp;"8, B28), IF(REGEXMATCH(D28, Staff_Bonuses[[#HEADERS],[Py]]), Staff_Bonuses[Py], 0) + IF(REGEXMATCH(D28, Staff_Bonuses[[#HEADERS],[He]]), Staff_Bonuses[He], 0) + IF(REGEXMATCH(D28, Staff_Bonuses[[#HEADERS],[Vo]]), Staff_Bonuses[Vo], 0))"),1.65)</f>
        <v>1.65</v>
      </c>
      <c r="L28" s="158">
        <f>$K28 * E28 / Staff_Bonuses[Mag/Dmg]</f>
        <v>20.46</v>
      </c>
      <c r="M28" s="158">
        <f t="shared" si="1"/>
        <v>67.65</v>
      </c>
      <c r="N28" s="158">
        <f>IFERROR(__xludf.DUMMYFUNCTION("IF(G28&gt;0, ($L28+$M28) * G28 * ($K28 - IF(REGEXMATCH($D28, $B28), IF(REGEXMATCH($D28, Staff_Bonuses[[#HEADERS],[Py]]), Staff_Bonuses[Py],) + IF(REGEXMATCH($D28, Staff_Bonuses[[#HEADERS],[He]]), Staff_Bonuses[He],) + IF(REGEXMATCH($D28, Staff_Bonuses[[#HEAD"&amp;"ERS],[Vo]]), Staff_Bonuses[Vo],)) + IF(AND(REGEXMATCH($D28, $C28), REGEXMATCH($D28,Staff_Bonuses[[#HEADERS],[Py]])), Staff_Bonuses[Py],) ) / $K28, 0)"),0.0)</f>
        <v>0</v>
      </c>
      <c r="O28" s="158">
        <f>IFERROR(__xludf.DUMMYFUNCTION("IF(H28&gt;0, ($L28+$M28) * H28 * ($K28 - IF(REGEXMATCH($D28, $B28), IF(REGEXMATCH($D28, Staff_Bonuses[[#HEADERS],[Py]]), Staff_Bonuses[Py],) + IF(REGEXMATCH($D28, Staff_Bonuses[[#HEADERS],[He]]), Staff_Bonuses[He],) + IF(REGEXMATCH($D28, Staff_Bonuses[[#HEAD"&amp;"ERS],[Vo]]), Staff_Bonuses[Vo],)) + IF(AND(REGEXMATCH($D28, $C28), REGEXMATCH($D28,Staff_Bonuses[[#HEADERS],[He]])), Staff_Bonuses[He],) ) / $K28, 0)"),0.0)</f>
        <v>0</v>
      </c>
      <c r="P28" s="231">
        <f>IFERROR(__xludf.DUMMYFUNCTION("IF(I28&gt;0, ($L28+$M28) * I28 * ($K28 - IF(REGEXMATCH($D28, $B28), IF(REGEXMATCH($D28, Staff_Bonuses[[#HEADERS],[Py]]), Staff_Bonuses[Py],) + IF(REGEXMATCH($D28, Staff_Bonuses[[#HEADERS],[He]]), Staff_Bonuses[He],) + IF(REGEXMATCH($D28, Staff_Bonuses[[#HEAD"&amp;"ERS],[Vo]]), Staff_Bonuses[Vo],)) + IF(AND(REGEXMATCH($D28, $C28), REGEXMATCH($D28,Staff_Bonuses[[#HEADERS],[Vo]])), Staff_Bonuses[Vo],) ) / $K28, 0)"),0.0)</f>
        <v>0</v>
      </c>
      <c r="Q28" s="232">
        <f t="shared" si="5"/>
        <v>88.11</v>
      </c>
      <c r="R28" s="205">
        <v>88.0</v>
      </c>
      <c r="S28" s="163">
        <f t="shared" si="3"/>
        <v>0.00125</v>
      </c>
      <c r="T28" s="205">
        <f>Q28 * Staff_Bonuses[Special
Mult]</f>
        <v>132.165</v>
      </c>
      <c r="U28" s="205"/>
      <c r="V28" s="166" t="str">
        <f t="shared" si="4"/>
        <v/>
      </c>
    </row>
    <row r="29" ht="22.5" customHeight="1">
      <c r="A29" s="167" t="s">
        <v>105</v>
      </c>
      <c r="B29" s="206" t="s">
        <v>22</v>
      </c>
      <c r="C29" s="206" t="s">
        <v>22</v>
      </c>
      <c r="D29" s="206" t="s">
        <v>110</v>
      </c>
      <c r="E29" s="238">
        <f>IFERROR(__xludf.DUMMYFUNCTION("200 + Scaling!$B$6 + Scaling!$B$15 + (INDEX(SPLIT(A29, "".""),3) + VLOOKUP(INDEX(SPLIT(A29, "".""),2), Rarity_Bonus_Levels_[[Identifier]:[Bonus Lvls]], 2) - 1) * (Scaling!$B$7 + Scaling!$B$16)"),561.4)</f>
        <v>561.4</v>
      </c>
      <c r="F29" s="238">
        <f>IFERROR(__xludf.DUMMYFUNCTION("Scaling!$B$4 + (INDEX(SPLIT($A29, "".""),3) + VLOOKUP(INDEX(SPLIT($A29, "".""),2), Rarity_Bonus_Levels_[[Identifier]:[Bonus Lvls]], 2) - 1) * (Scaling!$B$5)"),53.0)</f>
        <v>53</v>
      </c>
      <c r="G29" s="240">
        <v>0.08</v>
      </c>
      <c r="H29" s="241">
        <v>0.08</v>
      </c>
      <c r="I29" s="241">
        <v>0.08</v>
      </c>
      <c r="J29" s="242">
        <v>0.25</v>
      </c>
      <c r="K29" s="90">
        <f>IFERROR(__xludf.DUMMYFUNCTION("1 + J29 + IF(REGEXMATCH(D29, Staff_Bonuses[[#HEADERS],[Pe]]), Staff_Bonuses[Pe]) + IF(REGEXMATCH(D29, Staff_Bonuses[[#HEADERS],[Tr1]]), Staff_Bonuses[Tr1], 0) + IF(REGEXMATCH(D29, Staff_Bonuses[[#HEADERS],[Tr2]]), Staff_Bonuses[Tr2], 0) + IF(REGEXMATCH(D2"&amp;"9, B29), IF(REGEXMATCH(D29, Staff_Bonuses[[#HEADERS],[Py]]), Staff_Bonuses[Py], 0) + IF(REGEXMATCH(D29, Staff_Bonuses[[#HEADERS],[He]]), Staff_Bonuses[He], 0) + IF(REGEXMATCH(D29, Staff_Bonuses[[#HEADERS],[Vo]]), Staff_Bonuses[Vo], 0))"),1.75)</f>
        <v>1.75</v>
      </c>
      <c r="L29" s="44">
        <f>$K29 * E29 / Staff_Bonuses[Mag/Dmg]</f>
        <v>15.11461538</v>
      </c>
      <c r="M29" s="44">
        <f t="shared" si="1"/>
        <v>92.75</v>
      </c>
      <c r="N29" s="44">
        <f>IFERROR(__xludf.DUMMYFUNCTION("IF(G29&gt;0, ($L29+$M29) * G29 * ($K29 - IF(REGEXMATCH($D29, $B29), IF(REGEXMATCH($D29, Staff_Bonuses[[#HEADERS],[Py]]), Staff_Bonuses[Py],) + IF(REGEXMATCH($D29, Staff_Bonuses[[#HEADERS],[He]]), Staff_Bonuses[He],) + IF(REGEXMATCH($D29, Staff_Bonuses[[#HEAD"&amp;"ERS],[Vo]]), Staff_Bonuses[Vo],)) + IF(AND(REGEXMATCH($D29, $C29), REGEXMATCH($D29,Staff_Bonuses[[#HEADERS],[Py]])), Staff_Bonuses[Py],) ) / $K29, 0)"),8.62916923076923)</f>
        <v>8.629169231</v>
      </c>
      <c r="O29" s="44">
        <f>IFERROR(__xludf.DUMMYFUNCTION("IF(H29&gt;0, ($L29+$M29) * H29 * ($K29 - IF(REGEXMATCH($D29, $B29), IF(REGEXMATCH($D29, Staff_Bonuses[[#HEADERS],[Py]]), Staff_Bonuses[Py],) + IF(REGEXMATCH($D29, Staff_Bonuses[[#HEADERS],[He]]), Staff_Bonuses[He],) + IF(REGEXMATCH($D29, Staff_Bonuses[[#HEAD"&amp;"ERS],[Vo]]), Staff_Bonuses[Vo],)) + IF(AND(REGEXMATCH($D29, $C29), REGEXMATCH($D29,Staff_Bonuses[[#HEADERS],[He]])), Staff_Bonuses[He],) ) / $K29, 0)"),7.642978461538462)</f>
        <v>7.642978462</v>
      </c>
      <c r="P29" s="63">
        <f>IFERROR(__xludf.DUMMYFUNCTION("IF(I29&gt;0, ($L29+$M29) * I29 * ($K29 - IF(REGEXMATCH($D29, $B29), IF(REGEXMATCH($D29, Staff_Bonuses[[#HEADERS],[Py]]), Staff_Bonuses[Py],) + IF(REGEXMATCH($D29, Staff_Bonuses[[#HEADERS],[He]]), Staff_Bonuses[He],) + IF(REGEXMATCH($D29, Staff_Bonuses[[#HEAD"&amp;"ERS],[Vo]]), Staff_Bonuses[Vo],)) + IF(AND(REGEXMATCH($D29, $C29), REGEXMATCH($D29,Staff_Bonuses[[#HEADERS],[Vo]])), Staff_Bonuses[Vo],) ) / $K29, 0)"),7.642978461538462)</f>
        <v>7.642978462</v>
      </c>
      <c r="Q29" s="92">
        <f t="shared" si="5"/>
        <v>131.7797415</v>
      </c>
      <c r="R29" s="65"/>
      <c r="S29" s="69" t="str">
        <f t="shared" si="3"/>
        <v/>
      </c>
      <c r="T29" s="93">
        <f>Q29 * Staff_Bonuses[Special
Mult]</f>
        <v>197.6696123</v>
      </c>
      <c r="U29" s="93"/>
      <c r="V29" s="72" t="str">
        <f t="shared" si="4"/>
        <v/>
      </c>
    </row>
    <row r="30" ht="22.5" customHeight="1">
      <c r="A30" s="167" t="s">
        <v>105</v>
      </c>
      <c r="B30" s="101" t="s">
        <v>22</v>
      </c>
      <c r="C30" s="101" t="s">
        <v>22</v>
      </c>
      <c r="D30" s="101" t="s">
        <v>110</v>
      </c>
      <c r="E30" s="238">
        <f>IFERROR(__xludf.DUMMYFUNCTION("200 + Scaling!$B$6 + Scaling!$B$15 + (INDEX(SPLIT(A30, "".""),3) + VLOOKUP(INDEX(SPLIT(A30, "".""),2), Rarity_Bonus_Levels_[[Identifier]:[Bonus Lvls]], 2) - 1) * (Scaling!$B$7 + Scaling!$B$16)"),561.4)</f>
        <v>561.4</v>
      </c>
      <c r="F30" s="238">
        <f>IFERROR(__xludf.DUMMYFUNCTION("Scaling!$B$4 + (INDEX(SPLIT($A30, "".""),3) + VLOOKUP(INDEX(SPLIT($A30, "".""),2), Rarity_Bonus_Levels_[[Identifier]:[Bonus Lvls]], 2) - 1) * (Scaling!$B$5)"),53.0)</f>
        <v>53</v>
      </c>
      <c r="G30" s="31">
        <v>0.2</v>
      </c>
      <c r="H30" s="33">
        <v>0.0</v>
      </c>
      <c r="I30" s="33">
        <v>0.0</v>
      </c>
      <c r="J30" s="34">
        <v>0.25</v>
      </c>
      <c r="K30" s="90">
        <f>IFERROR(__xludf.DUMMYFUNCTION("1 + J30 + IF(REGEXMATCH(D30, Staff_Bonuses[[#HEADERS],[Pe]]), Staff_Bonuses[Pe]) + IF(REGEXMATCH(D30, Staff_Bonuses[[#HEADERS],[Tr1]]), Staff_Bonuses[Tr1], 0) + IF(REGEXMATCH(D30, Staff_Bonuses[[#HEADERS],[Tr2]]), Staff_Bonuses[Tr2], 0) + IF(REGEXMATCH(D3"&amp;"0, B30), IF(REGEXMATCH(D30, Staff_Bonuses[[#HEADERS],[Py]]), Staff_Bonuses[Py], 0) + IF(REGEXMATCH(D30, Staff_Bonuses[[#HEADERS],[He]]), Staff_Bonuses[He], 0) + IF(REGEXMATCH(D30, Staff_Bonuses[[#HEADERS],[Vo]]), Staff_Bonuses[Vo], 0))"),1.75)</f>
        <v>1.75</v>
      </c>
      <c r="L30" s="44">
        <f>$K30 * E30 / Staff_Bonuses[Mag/Dmg]</f>
        <v>15.11461538</v>
      </c>
      <c r="M30" s="44">
        <f t="shared" si="1"/>
        <v>92.75</v>
      </c>
      <c r="N30" s="44">
        <f>IFERROR(__xludf.DUMMYFUNCTION("IF(G30&gt;0, ($L30+$M30) * G30 * ($K30 - IF(REGEXMATCH($D30, $B30), IF(REGEXMATCH($D30, Staff_Bonuses[[#HEADERS],[Py]]), Staff_Bonuses[Py],) + IF(REGEXMATCH($D30, Staff_Bonuses[[#HEADERS],[He]]), Staff_Bonuses[He],) + IF(REGEXMATCH($D30, Staff_Bonuses[[#HEAD"&amp;"ERS],[Vo]]), Staff_Bonuses[Vo],)) + IF(AND(REGEXMATCH($D30, $C30), REGEXMATCH($D30,Staff_Bonuses[[#HEADERS],[Py]])), Staff_Bonuses[Py],) ) / $K30, 0)"),21.572923076923075)</f>
        <v>21.57292308</v>
      </c>
      <c r="O30" s="44">
        <f>IFERROR(__xludf.DUMMYFUNCTION("IF(H30&gt;0, ($L30+$M30) * H30 * ($K30 - IF(REGEXMATCH($D30, $B30), IF(REGEXMATCH($D30, Staff_Bonuses[[#HEADERS],[Py]]), Staff_Bonuses[Py],) + IF(REGEXMATCH($D30, Staff_Bonuses[[#HEADERS],[He]]), Staff_Bonuses[He],) + IF(REGEXMATCH($D30, Staff_Bonuses[[#HEAD"&amp;"ERS],[Vo]]), Staff_Bonuses[Vo],)) + IF(AND(REGEXMATCH($D30, $C30), REGEXMATCH($D30,Staff_Bonuses[[#HEADERS],[He]])), Staff_Bonuses[He],) ) / $K30, 0)"),0.0)</f>
        <v>0</v>
      </c>
      <c r="P30" s="63">
        <f>IFERROR(__xludf.DUMMYFUNCTION("IF(I30&gt;0, ($L30+$M30) * I30 * ($K30 - IF(REGEXMATCH($D30, $B30), IF(REGEXMATCH($D30, Staff_Bonuses[[#HEADERS],[Py]]), Staff_Bonuses[Py],) + IF(REGEXMATCH($D30, Staff_Bonuses[[#HEADERS],[He]]), Staff_Bonuses[He],) + IF(REGEXMATCH($D30, Staff_Bonuses[[#HEAD"&amp;"ERS],[Vo]]), Staff_Bonuses[Vo],)) + IF(AND(REGEXMATCH($D30, $C30), REGEXMATCH($D30,Staff_Bonuses[[#HEADERS],[Vo]])), Staff_Bonuses[Vo],) ) / $K30, 0)"),0.0)</f>
        <v>0</v>
      </c>
      <c r="Q30" s="92">
        <f t="shared" si="5"/>
        <v>129.4375385</v>
      </c>
      <c r="R30" s="65"/>
      <c r="S30" s="69" t="str">
        <f t="shared" si="3"/>
        <v/>
      </c>
      <c r="T30" s="93">
        <f>Q30 * Staff_Bonuses[Special
Mult]</f>
        <v>194.1563077</v>
      </c>
      <c r="U30" s="93"/>
      <c r="V30" s="72" t="str">
        <f t="shared" si="4"/>
        <v/>
      </c>
    </row>
    <row r="31" ht="22.5" customHeight="1">
      <c r="A31" s="167" t="s">
        <v>105</v>
      </c>
      <c r="B31" s="108" t="s">
        <v>22</v>
      </c>
      <c r="C31" s="108" t="s">
        <v>22</v>
      </c>
      <c r="D31" s="108" t="s">
        <v>110</v>
      </c>
      <c r="E31" s="238">
        <f>IFERROR(__xludf.DUMMYFUNCTION("200 + Scaling!$B$6 + Scaling!$B$15 + (INDEX(SPLIT(A31, "".""),3) + VLOOKUP(INDEX(SPLIT(A31, "".""),2), Rarity_Bonus_Levels_[[Identifier]:[Bonus Lvls]], 2) - 1) * (Scaling!$B$7 + Scaling!$B$16)"),561.4)</f>
        <v>561.4</v>
      </c>
      <c r="F31" s="238">
        <f>IFERROR(__xludf.DUMMYFUNCTION("Scaling!$B$4 + (INDEX(SPLIT($A31, "".""),3) + VLOOKUP(INDEX(SPLIT($A31, "".""),2), Rarity_Bonus_Levels_[[Identifier]:[Bonus Lvls]], 2) - 1) * (Scaling!$B$5)"),53.0)</f>
        <v>53</v>
      </c>
      <c r="G31" s="31">
        <v>0.0</v>
      </c>
      <c r="H31" s="33">
        <v>0.2</v>
      </c>
      <c r="I31" s="33">
        <v>0.0</v>
      </c>
      <c r="J31" s="34">
        <v>0.25</v>
      </c>
      <c r="K31" s="90">
        <f>IFERROR(__xludf.DUMMYFUNCTION("1 + J31 + IF(REGEXMATCH(D31, Staff_Bonuses[[#HEADERS],[Pe]]), Staff_Bonuses[Pe]) + IF(REGEXMATCH(D31, Staff_Bonuses[[#HEADERS],[Tr1]]), Staff_Bonuses[Tr1], 0) + IF(REGEXMATCH(D31, Staff_Bonuses[[#HEADERS],[Tr2]]), Staff_Bonuses[Tr2], 0) + IF(REGEXMATCH(D3"&amp;"1, B31), IF(REGEXMATCH(D31, Staff_Bonuses[[#HEADERS],[Py]]), Staff_Bonuses[Py], 0) + IF(REGEXMATCH(D31, Staff_Bonuses[[#HEADERS],[He]]), Staff_Bonuses[He], 0) + IF(REGEXMATCH(D31, Staff_Bonuses[[#HEADERS],[Vo]]), Staff_Bonuses[Vo], 0))"),1.75)</f>
        <v>1.75</v>
      </c>
      <c r="L31" s="44">
        <f>$K31 * E31 / Staff_Bonuses[Mag/Dmg]</f>
        <v>15.11461538</v>
      </c>
      <c r="M31" s="44">
        <f t="shared" si="1"/>
        <v>92.75</v>
      </c>
      <c r="N31" s="44">
        <f>IFERROR(__xludf.DUMMYFUNCTION("IF(G31&gt;0, ($L31+$M31) * G31 * ($K31 - IF(REGEXMATCH($D31, $B31), IF(REGEXMATCH($D31, Staff_Bonuses[[#HEADERS],[Py]]), Staff_Bonuses[Py],) + IF(REGEXMATCH($D31, Staff_Bonuses[[#HEADERS],[He]]), Staff_Bonuses[He],) + IF(REGEXMATCH($D31, Staff_Bonuses[[#HEAD"&amp;"ERS],[Vo]]), Staff_Bonuses[Vo],)) + IF(AND(REGEXMATCH($D31, $C31), REGEXMATCH($D31,Staff_Bonuses[[#HEADERS],[Py]])), Staff_Bonuses[Py],) ) / $K31, 0)"),0.0)</f>
        <v>0</v>
      </c>
      <c r="O31" s="44">
        <f>IFERROR(__xludf.DUMMYFUNCTION("IF(H31&gt;0, ($L31+$M31) * H31 * ($K31 - IF(REGEXMATCH($D31, $B31), IF(REGEXMATCH($D31, Staff_Bonuses[[#HEADERS],[Py]]), Staff_Bonuses[Py],) + IF(REGEXMATCH($D31, Staff_Bonuses[[#HEADERS],[He]]), Staff_Bonuses[He],) + IF(REGEXMATCH($D31, Staff_Bonuses[[#HEAD"&amp;"ERS],[Vo]]), Staff_Bonuses[Vo],)) + IF(AND(REGEXMATCH($D31, $C31), REGEXMATCH($D31,Staff_Bonuses[[#HEADERS],[He]])), Staff_Bonuses[He],) ) / $K31, 0)"),19.107446153846155)</f>
        <v>19.10744615</v>
      </c>
      <c r="P31" s="63">
        <f>IFERROR(__xludf.DUMMYFUNCTION("IF(I31&gt;0, ($L31+$M31) * I31 * ($K31 - IF(REGEXMATCH($D31, $B31), IF(REGEXMATCH($D31, Staff_Bonuses[[#HEADERS],[Py]]), Staff_Bonuses[Py],) + IF(REGEXMATCH($D31, Staff_Bonuses[[#HEADERS],[He]]), Staff_Bonuses[He],) + IF(REGEXMATCH($D31, Staff_Bonuses[[#HEAD"&amp;"ERS],[Vo]]), Staff_Bonuses[Vo],)) + IF(AND(REGEXMATCH($D31, $C31), REGEXMATCH($D31,Staff_Bonuses[[#HEADERS],[Vo]])), Staff_Bonuses[Vo],) ) / $K31, 0)"),0.0)</f>
        <v>0</v>
      </c>
      <c r="Q31" s="92">
        <f t="shared" si="5"/>
        <v>126.9720615</v>
      </c>
      <c r="R31" s="65"/>
      <c r="S31" s="69" t="str">
        <f t="shared" si="3"/>
        <v/>
      </c>
      <c r="T31" s="93">
        <f>Q31 * Staff_Bonuses[Special
Mult]</f>
        <v>190.4580923</v>
      </c>
      <c r="U31" s="93"/>
      <c r="V31" s="72" t="str">
        <f t="shared" si="4"/>
        <v/>
      </c>
    </row>
    <row r="32" ht="22.5" customHeight="1">
      <c r="A32" s="167" t="s">
        <v>105</v>
      </c>
      <c r="B32" s="211" t="s">
        <v>22</v>
      </c>
      <c r="C32" s="211" t="s">
        <v>22</v>
      </c>
      <c r="D32" s="211" t="s">
        <v>110</v>
      </c>
      <c r="E32" s="238">
        <f>IFERROR(__xludf.DUMMYFUNCTION("200 + Scaling!$B$6 + Scaling!$B$15 + (INDEX(SPLIT(A32, "".""),3) + VLOOKUP(INDEX(SPLIT(A32, "".""),2), Rarity_Bonus_Levels_[[Identifier]:[Bonus Lvls]], 2) - 1) * (Scaling!$B$7 + Scaling!$B$16)"),561.4)</f>
        <v>561.4</v>
      </c>
      <c r="F32" s="238">
        <f>IFERROR(__xludf.DUMMYFUNCTION("Scaling!$B$4 + (INDEX(SPLIT($A32, "".""),3) + VLOOKUP(INDEX(SPLIT($A32, "".""),2), Rarity_Bonus_Levels_[[Identifier]:[Bonus Lvls]], 2) - 1) * (Scaling!$B$5)"),53.0)</f>
        <v>53</v>
      </c>
      <c r="G32" s="217">
        <v>0.0</v>
      </c>
      <c r="H32" s="219">
        <v>0.0</v>
      </c>
      <c r="I32" s="219">
        <v>0.0</v>
      </c>
      <c r="J32" s="222">
        <v>0.25</v>
      </c>
      <c r="K32" s="90">
        <f>IFERROR(__xludf.DUMMYFUNCTION("1 + J32 + IF(REGEXMATCH(D32, Staff_Bonuses[[#HEADERS],[Pe]]), Staff_Bonuses[Pe]) + IF(REGEXMATCH(D32, Staff_Bonuses[[#HEADERS],[Tr1]]), Staff_Bonuses[Tr1], 0) + IF(REGEXMATCH(D32, Staff_Bonuses[[#HEADERS],[Tr2]]), Staff_Bonuses[Tr2], 0) + IF(REGEXMATCH(D3"&amp;"2, B32), IF(REGEXMATCH(D32, Staff_Bonuses[[#HEADERS],[Py]]), Staff_Bonuses[Py], 0) + IF(REGEXMATCH(D32, Staff_Bonuses[[#HEADERS],[He]]), Staff_Bonuses[He], 0) + IF(REGEXMATCH(D32, Staff_Bonuses[[#HEADERS],[Vo]]), Staff_Bonuses[Vo], 0))"),1.75)</f>
        <v>1.75</v>
      </c>
      <c r="L32" s="44">
        <f>$K32 * E32 / Staff_Bonuses[Mag/Dmg]</f>
        <v>15.11461538</v>
      </c>
      <c r="M32" s="44">
        <f t="shared" si="1"/>
        <v>92.75</v>
      </c>
      <c r="N32" s="44">
        <f>IFERROR(__xludf.DUMMYFUNCTION("IF(G32&gt;0, ($L32+$M32) * G32 * ($K32 - IF(REGEXMATCH($D32, $B32), IF(REGEXMATCH($D32, Staff_Bonuses[[#HEADERS],[Py]]), Staff_Bonuses[Py],) + IF(REGEXMATCH($D32, Staff_Bonuses[[#HEADERS],[He]]), Staff_Bonuses[He],) + IF(REGEXMATCH($D32, Staff_Bonuses[[#HEAD"&amp;"ERS],[Vo]]), Staff_Bonuses[Vo],)) + IF(AND(REGEXMATCH($D32, $C32), REGEXMATCH($D32,Staff_Bonuses[[#HEADERS],[Py]])), Staff_Bonuses[Py],) ) / $K32, 0)"),0.0)</f>
        <v>0</v>
      </c>
      <c r="O32" s="44">
        <f>IFERROR(__xludf.DUMMYFUNCTION("IF(H32&gt;0, ($L32+$M32) * H32 * ($K32 - IF(REGEXMATCH($D32, $B32), IF(REGEXMATCH($D32, Staff_Bonuses[[#HEADERS],[Py]]), Staff_Bonuses[Py],) + IF(REGEXMATCH($D32, Staff_Bonuses[[#HEADERS],[He]]), Staff_Bonuses[He],) + IF(REGEXMATCH($D32, Staff_Bonuses[[#HEAD"&amp;"ERS],[Vo]]), Staff_Bonuses[Vo],)) + IF(AND(REGEXMATCH($D32, $C32), REGEXMATCH($D32,Staff_Bonuses[[#HEADERS],[He]])), Staff_Bonuses[He],) ) / $K32, 0)"),0.0)</f>
        <v>0</v>
      </c>
      <c r="P32" s="63">
        <f>IFERROR(__xludf.DUMMYFUNCTION("IF(I32&gt;0, ($L32+$M32) * I32 * ($K32 - IF(REGEXMATCH($D32, $B32), IF(REGEXMATCH($D32, Staff_Bonuses[[#HEADERS],[Py]]), Staff_Bonuses[Py],) + IF(REGEXMATCH($D32, Staff_Bonuses[[#HEADERS],[He]]), Staff_Bonuses[He],) + IF(REGEXMATCH($D32, Staff_Bonuses[[#HEAD"&amp;"ERS],[Vo]]), Staff_Bonuses[Vo],)) + IF(AND(REGEXMATCH($D32, $C32), REGEXMATCH($D32,Staff_Bonuses[[#HEADERS],[Vo]])), Staff_Bonuses[Vo],) ) / $K32, 0)"),0.0)</f>
        <v>0</v>
      </c>
      <c r="Q32" s="92">
        <f t="shared" si="5"/>
        <v>107.8646154</v>
      </c>
      <c r="R32" s="65"/>
      <c r="S32" s="69" t="str">
        <f t="shared" si="3"/>
        <v/>
      </c>
      <c r="T32" s="93">
        <f>Q32 * Staff_Bonuses[Special
Mult]</f>
        <v>161.7969231</v>
      </c>
      <c r="U32" s="93"/>
      <c r="V32" s="72" t="str">
        <f t="shared" si="4"/>
        <v/>
      </c>
    </row>
    <row r="33" ht="22.5" customHeight="1">
      <c r="A33" s="266" t="s">
        <v>79</v>
      </c>
      <c r="B33" s="206" t="s">
        <v>22</v>
      </c>
      <c r="C33" s="206" t="s">
        <v>22</v>
      </c>
      <c r="D33" s="206" t="s">
        <v>110</v>
      </c>
      <c r="E33" s="272">
        <f>IFERROR(__xludf.DUMMYFUNCTION("200 + Scaling!$B$6 + Scaling!$B$15 + (INDEX(SPLIT(A33, "".""),3) + VLOOKUP(INDEX(SPLIT(A33, "".""),2), Rarity_Bonus_Levels_[[Identifier]:[Bonus Lvls]], 2) - 1) * (Scaling!$B$7 + Scaling!$B$16)"),1055.8000000000002)</f>
        <v>1055.8</v>
      </c>
      <c r="F33" s="272">
        <f>IFERROR(__xludf.DUMMYFUNCTION("Scaling!$B$4 + (INDEX(SPLIT($A33, "".""),3) + VLOOKUP(INDEX(SPLIT($A33, "".""),2), Rarity_Bonus_Levels_[[Identifier]:[Bonus Lvls]], 2) - 1) * (Scaling!$B$5)"),149.0)</f>
        <v>149</v>
      </c>
      <c r="G33" s="240">
        <v>0.08</v>
      </c>
      <c r="H33" s="241">
        <v>0.08</v>
      </c>
      <c r="I33" s="241">
        <v>0.08</v>
      </c>
      <c r="J33" s="242">
        <v>0.25</v>
      </c>
      <c r="K33" s="250">
        <f>IFERROR(__xludf.DUMMYFUNCTION("1 + J33 + IF(REGEXMATCH(D33, Staff_Bonuses[[#HEADERS],[Pe]]), Staff_Bonuses[Pe]) + IF(REGEXMATCH(D33, Staff_Bonuses[[#HEADERS],[Tr1]]), Staff_Bonuses[Tr1], 0) + IF(REGEXMATCH(D33, Staff_Bonuses[[#HEADERS],[Tr2]]), Staff_Bonuses[Tr2], 0) + IF(REGEXMATCH(D3"&amp;"3, B33), IF(REGEXMATCH(D33, Staff_Bonuses[[#HEADERS],[Py]]), Staff_Bonuses[Py], 0) + IF(REGEXMATCH(D33, Staff_Bonuses[[#HEADERS],[He]]), Staff_Bonuses[He], 0) + IF(REGEXMATCH(D33, Staff_Bonuses[[#HEADERS],[Vo]]), Staff_Bonuses[Vo], 0))"),1.75)</f>
        <v>1.75</v>
      </c>
      <c r="L33" s="251">
        <f>$K33 * E33 / Staff_Bonuses[Mag/Dmg]</f>
        <v>28.42538462</v>
      </c>
      <c r="M33" s="251">
        <f t="shared" si="1"/>
        <v>260.75</v>
      </c>
      <c r="N33" s="251">
        <f>IFERROR(__xludf.DUMMYFUNCTION("IF(G33&gt;0, ($L33+$M33) * G33 * ($K33 - IF(REGEXMATCH($D33, $B33), IF(REGEXMATCH($D33, Staff_Bonuses[[#HEADERS],[Py]]), Staff_Bonuses[Py],) + IF(REGEXMATCH($D33, Staff_Bonuses[[#HEADERS],[He]]), Staff_Bonuses[He],) + IF(REGEXMATCH($D33, Staff_Bonuses[[#HEAD"&amp;"ERS],[Vo]]), Staff_Bonuses[Vo],)) + IF(AND(REGEXMATCH($D33, $C33), REGEXMATCH($D33,Staff_Bonuses[[#HEADERS],[Py]])), Staff_Bonuses[Py],) ) / $K33, 0)"),23.134030769230773)</f>
        <v>23.13403077</v>
      </c>
      <c r="O33" s="251">
        <f>IFERROR(__xludf.DUMMYFUNCTION("IF(H33&gt;0, ($L33+$M33) * H33 * ($K33 - IF(REGEXMATCH($D33, $B33), IF(REGEXMATCH($D33, Staff_Bonuses[[#HEADERS],[Py]]), Staff_Bonuses[Py],) + IF(REGEXMATCH($D33, Staff_Bonuses[[#HEADERS],[He]]), Staff_Bonuses[He],) + IF(REGEXMATCH($D33, Staff_Bonuses[[#HEAD"&amp;"ERS],[Vo]]), Staff_Bonuses[Vo],)) + IF(AND(REGEXMATCH($D33, $C33), REGEXMATCH($D33,Staff_Bonuses[[#HEADERS],[He]])), Staff_Bonuses[He],) ) / $K33, 0)"),20.49014153846154)</f>
        <v>20.49014154</v>
      </c>
      <c r="P33" s="273">
        <f>IFERROR(__xludf.DUMMYFUNCTION("IF(I33&gt;0, ($L33+$M33) * I33 * ($K33 - IF(REGEXMATCH($D33, $B33), IF(REGEXMATCH($D33, Staff_Bonuses[[#HEADERS],[Py]]), Staff_Bonuses[Py],) + IF(REGEXMATCH($D33, Staff_Bonuses[[#HEADERS],[He]]), Staff_Bonuses[He],) + IF(REGEXMATCH($D33, Staff_Bonuses[[#HEAD"&amp;"ERS],[Vo]]), Staff_Bonuses[Vo],)) + IF(AND(REGEXMATCH($D33, $C33), REGEXMATCH($D33,Staff_Bonuses[[#HEADERS],[Vo]])), Staff_Bonuses[Vo],) ) / $K33, 0)"),20.49014153846154)</f>
        <v>20.49014154</v>
      </c>
      <c r="Q33" s="274">
        <f t="shared" si="5"/>
        <v>353.2896985</v>
      </c>
      <c r="R33" s="254"/>
      <c r="S33" s="255" t="str">
        <f t="shared" si="3"/>
        <v/>
      </c>
      <c r="T33" s="257">
        <f>Q33 * Staff_Bonuses[Special
Mult]</f>
        <v>529.9345477</v>
      </c>
      <c r="U33" s="257"/>
      <c r="V33" s="258" t="str">
        <f t="shared" si="4"/>
        <v/>
      </c>
    </row>
    <row r="34" ht="22.5" customHeight="1">
      <c r="A34" s="47" t="s">
        <v>79</v>
      </c>
      <c r="B34" s="101" t="s">
        <v>22</v>
      </c>
      <c r="C34" s="101" t="s">
        <v>22</v>
      </c>
      <c r="D34" s="101" t="s">
        <v>110</v>
      </c>
      <c r="E34" s="109">
        <f>IFERROR(__xludf.DUMMYFUNCTION("200 + Scaling!$B$6 + Scaling!$B$15 + (INDEX(SPLIT(A34, "".""),3) + VLOOKUP(INDEX(SPLIT(A34, "".""),2), Rarity_Bonus_Levels_[[Identifier]:[Bonus Lvls]], 2) - 1) * (Scaling!$B$7 + Scaling!$B$16)"),1055.8000000000002)</f>
        <v>1055.8</v>
      </c>
      <c r="F34" s="109">
        <f>IFERROR(__xludf.DUMMYFUNCTION("Scaling!$B$4 + (INDEX(SPLIT($A34, "".""),3) + VLOOKUP(INDEX(SPLIT($A34, "".""),2), Rarity_Bonus_Levels_[[Identifier]:[Bonus Lvls]], 2) - 1) * (Scaling!$B$5)"),149.0)</f>
        <v>149</v>
      </c>
      <c r="G34" s="31">
        <v>0.2</v>
      </c>
      <c r="H34" s="33">
        <v>0.0</v>
      </c>
      <c r="I34" s="33">
        <v>0.0</v>
      </c>
      <c r="J34" s="34">
        <v>0.25</v>
      </c>
      <c r="K34" s="90">
        <f>IFERROR(__xludf.DUMMYFUNCTION("1 + J34 + IF(REGEXMATCH(D34, Staff_Bonuses[[#HEADERS],[Pe]]), Staff_Bonuses[Pe]) + IF(REGEXMATCH(D34, Staff_Bonuses[[#HEADERS],[Tr1]]), Staff_Bonuses[Tr1], 0) + IF(REGEXMATCH(D34, Staff_Bonuses[[#HEADERS],[Tr2]]), Staff_Bonuses[Tr2], 0) + IF(REGEXMATCH(D3"&amp;"4, B34), IF(REGEXMATCH(D34, Staff_Bonuses[[#HEADERS],[Py]]), Staff_Bonuses[Py], 0) + IF(REGEXMATCH(D34, Staff_Bonuses[[#HEADERS],[He]]), Staff_Bonuses[He], 0) + IF(REGEXMATCH(D34, Staff_Bonuses[[#HEADERS],[Vo]]), Staff_Bonuses[Vo], 0))"),1.75)</f>
        <v>1.75</v>
      </c>
      <c r="L34" s="44">
        <f>$K34 * E34 / Staff_Bonuses[Mag/Dmg]</f>
        <v>28.42538462</v>
      </c>
      <c r="M34" s="44">
        <f t="shared" si="1"/>
        <v>260.75</v>
      </c>
      <c r="N34" s="44">
        <f>IFERROR(__xludf.DUMMYFUNCTION("IF(G34&gt;0, ($L34+$M34) * G34 * ($K34 - IF(REGEXMATCH($D34, $B34), IF(REGEXMATCH($D34, Staff_Bonuses[[#HEADERS],[Py]]), Staff_Bonuses[Py],) + IF(REGEXMATCH($D34, Staff_Bonuses[[#HEADERS],[He]]), Staff_Bonuses[He],) + IF(REGEXMATCH($D34, Staff_Bonuses[[#HEAD"&amp;"ERS],[Vo]]), Staff_Bonuses[Vo],)) + IF(AND(REGEXMATCH($D34, $C34), REGEXMATCH($D34,Staff_Bonuses[[#HEADERS],[Py]])), Staff_Bonuses[Py],) ) / $K34, 0)"),57.83507692307693)</f>
        <v>57.83507692</v>
      </c>
      <c r="O34" s="44">
        <f>IFERROR(__xludf.DUMMYFUNCTION("IF(H34&gt;0, ($L34+$M34) * H34 * ($K34 - IF(REGEXMATCH($D34, $B34), IF(REGEXMATCH($D34, Staff_Bonuses[[#HEADERS],[Py]]), Staff_Bonuses[Py],) + IF(REGEXMATCH($D34, Staff_Bonuses[[#HEADERS],[He]]), Staff_Bonuses[He],) + IF(REGEXMATCH($D34, Staff_Bonuses[[#HEAD"&amp;"ERS],[Vo]]), Staff_Bonuses[Vo],)) + IF(AND(REGEXMATCH($D34, $C34), REGEXMATCH($D34,Staff_Bonuses[[#HEADERS],[He]])), Staff_Bonuses[He],) ) / $K34, 0)"),0.0)</f>
        <v>0</v>
      </c>
      <c r="P34" s="63">
        <f>IFERROR(__xludf.DUMMYFUNCTION("IF(I34&gt;0, ($L34+$M34) * I34 * ($K34 - IF(REGEXMATCH($D34, $B34), IF(REGEXMATCH($D34, Staff_Bonuses[[#HEADERS],[Py]]), Staff_Bonuses[Py],) + IF(REGEXMATCH($D34, Staff_Bonuses[[#HEADERS],[He]]), Staff_Bonuses[He],) + IF(REGEXMATCH($D34, Staff_Bonuses[[#HEAD"&amp;"ERS],[Vo]]), Staff_Bonuses[Vo],)) + IF(AND(REGEXMATCH($D34, $C34), REGEXMATCH($D34,Staff_Bonuses[[#HEADERS],[Vo]])), Staff_Bonuses[Vo],) ) / $K34, 0)"),0.0)</f>
        <v>0</v>
      </c>
      <c r="Q34" s="92">
        <f t="shared" si="5"/>
        <v>347.0104615</v>
      </c>
      <c r="R34" s="65"/>
      <c r="S34" s="69" t="str">
        <f t="shared" si="3"/>
        <v/>
      </c>
      <c r="T34" s="93">
        <f>Q34 * Staff_Bonuses[Special
Mult]</f>
        <v>520.5156923</v>
      </c>
      <c r="U34" s="93"/>
      <c r="V34" s="72" t="str">
        <f t="shared" si="4"/>
        <v/>
      </c>
    </row>
    <row r="35" ht="22.5" customHeight="1">
      <c r="A35" s="106" t="s">
        <v>79</v>
      </c>
      <c r="B35" s="108" t="s">
        <v>22</v>
      </c>
      <c r="C35" s="108" t="s">
        <v>22</v>
      </c>
      <c r="D35" s="108" t="s">
        <v>110</v>
      </c>
      <c r="E35" s="109">
        <f>IFERROR(__xludf.DUMMYFUNCTION("200 + Scaling!$B$6 + Scaling!$B$15 + (INDEX(SPLIT(A35, "".""),3) + VLOOKUP(INDEX(SPLIT(A35, "".""),2), Rarity_Bonus_Levels_[[Identifier]:[Bonus Lvls]], 2) - 1) * (Scaling!$B$7 + Scaling!$B$16)"),1055.8000000000002)</f>
        <v>1055.8</v>
      </c>
      <c r="F35" s="109">
        <f>IFERROR(__xludf.DUMMYFUNCTION("Scaling!$B$4 + (INDEX(SPLIT($A35, "".""),3) + VLOOKUP(INDEX(SPLIT($A35, "".""),2), Rarity_Bonus_Levels_[[Identifier]:[Bonus Lvls]], 2) - 1) * (Scaling!$B$5)"),149.0)</f>
        <v>149</v>
      </c>
      <c r="G35" s="31">
        <v>0.0</v>
      </c>
      <c r="H35" s="33">
        <v>0.2</v>
      </c>
      <c r="I35" s="33">
        <v>0.0</v>
      </c>
      <c r="J35" s="34">
        <v>0.25</v>
      </c>
      <c r="K35" s="90">
        <f>IFERROR(__xludf.DUMMYFUNCTION("1 + J35 + IF(REGEXMATCH(D35, Staff_Bonuses[[#HEADERS],[Pe]]), Staff_Bonuses[Pe]) + IF(REGEXMATCH(D35, Staff_Bonuses[[#HEADERS],[Tr1]]), Staff_Bonuses[Tr1], 0) + IF(REGEXMATCH(D35, Staff_Bonuses[[#HEADERS],[Tr2]]), Staff_Bonuses[Tr2], 0) + IF(REGEXMATCH(D3"&amp;"5, B35), IF(REGEXMATCH(D35, Staff_Bonuses[[#HEADERS],[Py]]), Staff_Bonuses[Py], 0) + IF(REGEXMATCH(D35, Staff_Bonuses[[#HEADERS],[He]]), Staff_Bonuses[He], 0) + IF(REGEXMATCH(D35, Staff_Bonuses[[#HEADERS],[Vo]]), Staff_Bonuses[Vo], 0))"),1.75)</f>
        <v>1.75</v>
      </c>
      <c r="L35" s="44">
        <f>$K35 * E35 / Staff_Bonuses[Mag/Dmg]</f>
        <v>28.42538462</v>
      </c>
      <c r="M35" s="44">
        <f t="shared" si="1"/>
        <v>260.75</v>
      </c>
      <c r="N35" s="44">
        <f>IFERROR(__xludf.DUMMYFUNCTION("IF(G35&gt;0, ($L35+$M35) * G35 * ($K35 - IF(REGEXMATCH($D35, $B35), IF(REGEXMATCH($D35, Staff_Bonuses[[#HEADERS],[Py]]), Staff_Bonuses[Py],) + IF(REGEXMATCH($D35, Staff_Bonuses[[#HEADERS],[He]]), Staff_Bonuses[He],) + IF(REGEXMATCH($D35, Staff_Bonuses[[#HEAD"&amp;"ERS],[Vo]]), Staff_Bonuses[Vo],)) + IF(AND(REGEXMATCH($D35, $C35), REGEXMATCH($D35,Staff_Bonuses[[#HEADERS],[Py]])), Staff_Bonuses[Py],) ) / $K35, 0)"),0.0)</f>
        <v>0</v>
      </c>
      <c r="O35" s="44">
        <f>IFERROR(__xludf.DUMMYFUNCTION("IF(H35&gt;0, ($L35+$M35) * H35 * ($K35 - IF(REGEXMATCH($D35, $B35), IF(REGEXMATCH($D35, Staff_Bonuses[[#HEADERS],[Py]]), Staff_Bonuses[Py],) + IF(REGEXMATCH($D35, Staff_Bonuses[[#HEADERS],[He]]), Staff_Bonuses[He],) + IF(REGEXMATCH($D35, Staff_Bonuses[[#HEAD"&amp;"ERS],[Vo]]), Staff_Bonuses[Vo],)) + IF(AND(REGEXMATCH($D35, $C35), REGEXMATCH($D35,Staff_Bonuses[[#HEADERS],[He]])), Staff_Bonuses[He],) ) / $K35, 0)"),51.22535384615385)</f>
        <v>51.22535385</v>
      </c>
      <c r="P35" s="63">
        <f>IFERROR(__xludf.DUMMYFUNCTION("IF(I35&gt;0, ($L35+$M35) * I35 * ($K35 - IF(REGEXMATCH($D35, $B35), IF(REGEXMATCH($D35, Staff_Bonuses[[#HEADERS],[Py]]), Staff_Bonuses[Py],) + IF(REGEXMATCH($D35, Staff_Bonuses[[#HEADERS],[He]]), Staff_Bonuses[He],) + IF(REGEXMATCH($D35, Staff_Bonuses[[#HEAD"&amp;"ERS],[Vo]]), Staff_Bonuses[Vo],)) + IF(AND(REGEXMATCH($D35, $C35), REGEXMATCH($D35,Staff_Bonuses[[#HEADERS],[Vo]])), Staff_Bonuses[Vo],) ) / $K35, 0)"),0.0)</f>
        <v>0</v>
      </c>
      <c r="Q35" s="92">
        <f t="shared" si="5"/>
        <v>340.4007385</v>
      </c>
      <c r="R35" s="65"/>
      <c r="S35" s="69" t="str">
        <f t="shared" si="3"/>
        <v/>
      </c>
      <c r="T35" s="93">
        <f>Q35 * Staff_Bonuses[Special
Mult]</f>
        <v>510.6011077</v>
      </c>
      <c r="U35" s="93"/>
      <c r="V35" s="72" t="str">
        <f t="shared" si="4"/>
        <v/>
      </c>
    </row>
    <row r="36" ht="22.5" customHeight="1">
      <c r="A36" s="209" t="s">
        <v>79</v>
      </c>
      <c r="B36" s="211" t="s">
        <v>22</v>
      </c>
      <c r="C36" s="211" t="s">
        <v>22</v>
      </c>
      <c r="D36" s="211" t="s">
        <v>110</v>
      </c>
      <c r="E36" s="279">
        <f>IFERROR(__xludf.DUMMYFUNCTION("200 + Scaling!$B$6 + Scaling!$B$15 + (INDEX(SPLIT(A36, "".""),3) + VLOOKUP(INDEX(SPLIT(A36, "".""),2), Rarity_Bonus_Levels_[[Identifier]:[Bonus Lvls]], 2) - 1) * (Scaling!$B$7 + Scaling!$B$16)"),1055.8000000000002)</f>
        <v>1055.8</v>
      </c>
      <c r="F36" s="279">
        <f>IFERROR(__xludf.DUMMYFUNCTION("Scaling!$B$4 + (INDEX(SPLIT($A36, "".""),3) + VLOOKUP(INDEX(SPLIT($A36, "".""),2), Rarity_Bonus_Levels_[[Identifier]:[Bonus Lvls]], 2) - 1) * (Scaling!$B$5)"),149.0)</f>
        <v>149</v>
      </c>
      <c r="G36" s="217">
        <v>0.0</v>
      </c>
      <c r="H36" s="219">
        <v>0.0</v>
      </c>
      <c r="I36" s="219">
        <v>0.0</v>
      </c>
      <c r="J36" s="222">
        <v>0.25</v>
      </c>
      <c r="K36" s="200">
        <f>IFERROR(__xludf.DUMMYFUNCTION("1 + J36 + IF(REGEXMATCH(D36, Staff_Bonuses[[#HEADERS],[Pe]]), Staff_Bonuses[Pe]) + IF(REGEXMATCH(D36, Staff_Bonuses[[#HEADERS],[Tr1]]), Staff_Bonuses[Tr1], 0) + IF(REGEXMATCH(D36, Staff_Bonuses[[#HEADERS],[Tr2]]), Staff_Bonuses[Tr2], 0) + IF(REGEXMATCH(D3"&amp;"6, B36), IF(REGEXMATCH(D36, Staff_Bonuses[[#HEADERS],[Py]]), Staff_Bonuses[Py], 0) + IF(REGEXMATCH(D36, Staff_Bonuses[[#HEADERS],[He]]), Staff_Bonuses[He], 0) + IF(REGEXMATCH(D36, Staff_Bonuses[[#HEADERS],[Vo]]), Staff_Bonuses[Vo], 0))"),1.75)</f>
        <v>1.75</v>
      </c>
      <c r="L36" s="158">
        <f>$K36 * E36 / Staff_Bonuses[Mag/Dmg]</f>
        <v>28.42538462</v>
      </c>
      <c r="M36" s="158">
        <f t="shared" si="1"/>
        <v>260.75</v>
      </c>
      <c r="N36" s="158">
        <f>IFERROR(__xludf.DUMMYFUNCTION("IF(G36&gt;0, ($L36+$M36) * G36 * ($K36 - IF(REGEXMATCH($D36, $B36), IF(REGEXMATCH($D36, Staff_Bonuses[[#HEADERS],[Py]]), Staff_Bonuses[Py],) + IF(REGEXMATCH($D36, Staff_Bonuses[[#HEADERS],[He]]), Staff_Bonuses[He],) + IF(REGEXMATCH($D36, Staff_Bonuses[[#HEAD"&amp;"ERS],[Vo]]), Staff_Bonuses[Vo],)) + IF(AND(REGEXMATCH($D36, $C36), REGEXMATCH($D36,Staff_Bonuses[[#HEADERS],[Py]])), Staff_Bonuses[Py],) ) / $K36, 0)"),0.0)</f>
        <v>0</v>
      </c>
      <c r="O36" s="158">
        <f>IFERROR(__xludf.DUMMYFUNCTION("IF(H36&gt;0, ($L36+$M36) * H36 * ($K36 - IF(REGEXMATCH($D36, $B36), IF(REGEXMATCH($D36, Staff_Bonuses[[#HEADERS],[Py]]), Staff_Bonuses[Py],) + IF(REGEXMATCH($D36, Staff_Bonuses[[#HEADERS],[He]]), Staff_Bonuses[He],) + IF(REGEXMATCH($D36, Staff_Bonuses[[#HEAD"&amp;"ERS],[Vo]]), Staff_Bonuses[Vo],)) + IF(AND(REGEXMATCH($D36, $C36), REGEXMATCH($D36,Staff_Bonuses[[#HEADERS],[He]])), Staff_Bonuses[He],) ) / $K36, 0)"),0.0)</f>
        <v>0</v>
      </c>
      <c r="P36" s="231">
        <f>IFERROR(__xludf.DUMMYFUNCTION("IF(I36&gt;0, ($L36+$M36) * I36 * ($K36 - IF(REGEXMATCH($D36, $B36), IF(REGEXMATCH($D36, Staff_Bonuses[[#HEADERS],[Py]]), Staff_Bonuses[Py],) + IF(REGEXMATCH($D36, Staff_Bonuses[[#HEADERS],[He]]), Staff_Bonuses[He],) + IF(REGEXMATCH($D36, Staff_Bonuses[[#HEAD"&amp;"ERS],[Vo]]), Staff_Bonuses[Vo],)) + IF(AND(REGEXMATCH($D36, $C36), REGEXMATCH($D36,Staff_Bonuses[[#HEADERS],[Vo]])), Staff_Bonuses[Vo],) ) / $K36, 0)"),0.0)</f>
        <v>0</v>
      </c>
      <c r="Q36" s="232">
        <f t="shared" si="5"/>
        <v>289.1753846</v>
      </c>
      <c r="R36" s="237"/>
      <c r="S36" s="163" t="str">
        <f t="shared" si="3"/>
        <v/>
      </c>
      <c r="T36" s="205">
        <f>Q36 * Staff_Bonuses[Special
Mult]</f>
        <v>433.7630769</v>
      </c>
      <c r="U36" s="205"/>
      <c r="V36" s="166" t="str">
        <f t="shared" si="4"/>
        <v/>
      </c>
    </row>
    <row r="37" ht="22.5" customHeight="1">
      <c r="A37" s="245" t="s">
        <v>111</v>
      </c>
      <c r="B37" s="168" t="s">
        <v>22</v>
      </c>
      <c r="C37" s="168" t="s">
        <v>22</v>
      </c>
      <c r="D37" s="168" t="s">
        <v>110</v>
      </c>
      <c r="E37" s="285">
        <f>IFERROR(__xludf.DUMMYFUNCTION("200 + Scaling!$B$6 + Scaling!$B$15 + (INDEX(SPLIT(A37, "".""),3) + VLOOKUP(INDEX(SPLIT(A37, "".""),2), Rarity_Bonus_Levels_[[Identifier]:[Bonus Lvls]], 2) - 1) * (Scaling!$B$7 + Scaling!$B$16)"),2600.8)</f>
        <v>2600.8</v>
      </c>
      <c r="F37" s="285">
        <f>IFERROR(__xludf.DUMMYFUNCTION("Scaling!$B$4 + (INDEX(SPLIT($A37, "".""),3) + VLOOKUP(INDEX(SPLIT($A37, "".""),2), Rarity_Bonus_Levels_[[Identifier]:[Bonus Lvls]], 2) - 1) * (Scaling!$B$5)"),449.0)</f>
        <v>449</v>
      </c>
      <c r="G37" s="31">
        <v>0.08</v>
      </c>
      <c r="H37" s="33">
        <v>0.08</v>
      </c>
      <c r="I37" s="33">
        <v>0.08</v>
      </c>
      <c r="J37" s="34">
        <v>0.25</v>
      </c>
      <c r="K37" s="90">
        <f>IFERROR(__xludf.DUMMYFUNCTION("1 + J37 + IF(REGEXMATCH(D37, Staff_Bonuses[[#HEADERS],[Pe]]), Staff_Bonuses[Pe]) + IF(REGEXMATCH(D37, Staff_Bonuses[[#HEADERS],[Tr1]]), Staff_Bonuses[Tr1], 0) + IF(REGEXMATCH(D37, Staff_Bonuses[[#HEADERS],[Tr2]]), Staff_Bonuses[Tr2], 0) + IF(REGEXMATCH(D3"&amp;"7, B37), IF(REGEXMATCH(D37, Staff_Bonuses[[#HEADERS],[Py]]), Staff_Bonuses[Py], 0) + IF(REGEXMATCH(D37, Staff_Bonuses[[#HEADERS],[He]]), Staff_Bonuses[He], 0) + IF(REGEXMATCH(D37, Staff_Bonuses[[#HEADERS],[Vo]]), Staff_Bonuses[Vo], 0))"),1.75)</f>
        <v>1.75</v>
      </c>
      <c r="L37" s="44">
        <f>$K37 * E37 / Staff_Bonuses[Mag/Dmg]</f>
        <v>70.02153846</v>
      </c>
      <c r="M37" s="44">
        <f t="shared" si="1"/>
        <v>785.75</v>
      </c>
      <c r="N37" s="44">
        <f>IFERROR(__xludf.DUMMYFUNCTION("IF(G37&gt;0, ($L37+$M37) * G37 * ($K37 - IF(REGEXMATCH($D37, $B37), IF(REGEXMATCH($D37, Staff_Bonuses[[#HEADERS],[Py]]), Staff_Bonuses[Py],) + IF(REGEXMATCH($D37, Staff_Bonuses[[#HEADERS],[He]]), Staff_Bonuses[He],) + IF(REGEXMATCH($D37, Staff_Bonuses[[#HEAD"&amp;"ERS],[Vo]]), Staff_Bonuses[Vo],)) + IF(AND(REGEXMATCH($D37, $C37), REGEXMATCH($D37,Staff_Bonuses[[#HEADERS],[Py]])), Staff_Bonuses[Py],) ) / $K37, 0)"),68.46172307692308)</f>
        <v>68.46172308</v>
      </c>
      <c r="O37" s="44">
        <f>IFERROR(__xludf.DUMMYFUNCTION("IF(H37&gt;0, ($L37+$M37) * H37 * ($K37 - IF(REGEXMATCH($D37, $B37), IF(REGEXMATCH($D37, Staff_Bonuses[[#HEADERS],[Py]]), Staff_Bonuses[Py],) + IF(REGEXMATCH($D37, Staff_Bonuses[[#HEADERS],[He]]), Staff_Bonuses[He],) + IF(REGEXMATCH($D37, Staff_Bonuses[[#HEAD"&amp;"ERS],[Vo]]), Staff_Bonuses[Vo],)) + IF(AND(REGEXMATCH($D37, $C37), REGEXMATCH($D37,Staff_Bonuses[[#HEADERS],[He]])), Staff_Bonuses[He],) ) / $K37, 0)"),60.63752615384616)</f>
        <v>60.63752615</v>
      </c>
      <c r="P37" s="63">
        <f>IFERROR(__xludf.DUMMYFUNCTION("IF(I37&gt;0, ($L37+$M37) * I37 * ($K37 - IF(REGEXMATCH($D37, $B37), IF(REGEXMATCH($D37, Staff_Bonuses[[#HEADERS],[Py]]), Staff_Bonuses[Py],) + IF(REGEXMATCH($D37, Staff_Bonuses[[#HEADERS],[He]]), Staff_Bonuses[He],) + IF(REGEXMATCH($D37, Staff_Bonuses[[#HEAD"&amp;"ERS],[Vo]]), Staff_Bonuses[Vo],)) + IF(AND(REGEXMATCH($D37, $C37), REGEXMATCH($D37,Staff_Bonuses[[#HEADERS],[Vo]])), Staff_Bonuses[Vo],) ) / $K37, 0)"),60.63752615384616)</f>
        <v>60.63752615</v>
      </c>
      <c r="Q37" s="92">
        <f t="shared" si="5"/>
        <v>1045.508314</v>
      </c>
      <c r="R37" s="65"/>
      <c r="S37" s="69" t="str">
        <f t="shared" si="3"/>
        <v/>
      </c>
      <c r="T37" s="92">
        <f>Q37 * Staff_Bonuses[Special
Mult]</f>
        <v>1568.262471</v>
      </c>
      <c r="U37" s="92"/>
      <c r="V37" s="72" t="str">
        <f t="shared" si="4"/>
        <v/>
      </c>
    </row>
    <row r="38" ht="22.5" customHeight="1">
      <c r="A38" s="99" t="s">
        <v>111</v>
      </c>
      <c r="B38" s="101" t="s">
        <v>22</v>
      </c>
      <c r="C38" s="101" t="s">
        <v>22</v>
      </c>
      <c r="D38" s="101" t="s">
        <v>110</v>
      </c>
      <c r="E38" s="109">
        <f>IFERROR(__xludf.DUMMYFUNCTION("200 + Scaling!$B$6 + Scaling!$B$15 + (INDEX(SPLIT(A38, "".""),3) + VLOOKUP(INDEX(SPLIT(A38, "".""),2), Rarity_Bonus_Levels_[[Identifier]:[Bonus Lvls]], 2) - 1) * (Scaling!$B$7 + Scaling!$B$16)"),2600.8)</f>
        <v>2600.8</v>
      </c>
      <c r="F38" s="109">
        <f>IFERROR(__xludf.DUMMYFUNCTION("Scaling!$B$4 + (INDEX(SPLIT($A38, "".""),3) + VLOOKUP(INDEX(SPLIT($A38, "".""),2), Rarity_Bonus_Levels_[[Identifier]:[Bonus Lvls]], 2) - 1) * (Scaling!$B$5)"),449.0)</f>
        <v>449</v>
      </c>
      <c r="G38" s="31">
        <v>0.2</v>
      </c>
      <c r="H38" s="33">
        <v>0.0</v>
      </c>
      <c r="I38" s="33">
        <v>0.0</v>
      </c>
      <c r="J38" s="34">
        <v>0.25</v>
      </c>
      <c r="K38" s="90">
        <f>IFERROR(__xludf.DUMMYFUNCTION("1 + J38 + IF(REGEXMATCH(D38, Staff_Bonuses[[#HEADERS],[Pe]]), Staff_Bonuses[Pe]) + IF(REGEXMATCH(D38, Staff_Bonuses[[#HEADERS],[Tr1]]), Staff_Bonuses[Tr1], 0) + IF(REGEXMATCH(D38, Staff_Bonuses[[#HEADERS],[Tr2]]), Staff_Bonuses[Tr2], 0) + IF(REGEXMATCH(D3"&amp;"8, B38), IF(REGEXMATCH(D38, Staff_Bonuses[[#HEADERS],[Py]]), Staff_Bonuses[Py], 0) + IF(REGEXMATCH(D38, Staff_Bonuses[[#HEADERS],[He]]), Staff_Bonuses[He], 0) + IF(REGEXMATCH(D38, Staff_Bonuses[[#HEADERS],[Vo]]), Staff_Bonuses[Vo], 0))"),1.75)</f>
        <v>1.75</v>
      </c>
      <c r="L38" s="44">
        <f>$K38 * E38 / Staff_Bonuses[Mag/Dmg]</f>
        <v>70.02153846</v>
      </c>
      <c r="M38" s="44">
        <f t="shared" si="1"/>
        <v>785.75</v>
      </c>
      <c r="N38" s="44">
        <f>IFERROR(__xludf.DUMMYFUNCTION("IF(G38&gt;0, ($L38+$M38) * G38 * ($K38 - IF(REGEXMATCH($D38, $B38), IF(REGEXMATCH($D38, Staff_Bonuses[[#HEADERS],[Py]]), Staff_Bonuses[Py],) + IF(REGEXMATCH($D38, Staff_Bonuses[[#HEADERS],[He]]), Staff_Bonuses[He],) + IF(REGEXMATCH($D38, Staff_Bonuses[[#HEAD"&amp;"ERS],[Vo]]), Staff_Bonuses[Vo],)) + IF(AND(REGEXMATCH($D38, $C38), REGEXMATCH($D38,Staff_Bonuses[[#HEADERS],[Py]])), Staff_Bonuses[Py],) ) / $K38, 0)"),171.15430769230775)</f>
        <v>171.1543077</v>
      </c>
      <c r="O38" s="44">
        <f>IFERROR(__xludf.DUMMYFUNCTION("IF(H38&gt;0, ($L38+$M38) * H38 * ($K38 - IF(REGEXMATCH($D38, $B38), IF(REGEXMATCH($D38, Staff_Bonuses[[#HEADERS],[Py]]), Staff_Bonuses[Py],) + IF(REGEXMATCH($D38, Staff_Bonuses[[#HEADERS],[He]]), Staff_Bonuses[He],) + IF(REGEXMATCH($D38, Staff_Bonuses[[#HEAD"&amp;"ERS],[Vo]]), Staff_Bonuses[Vo],)) + IF(AND(REGEXMATCH($D38, $C38), REGEXMATCH($D38,Staff_Bonuses[[#HEADERS],[He]])), Staff_Bonuses[He],) ) / $K38, 0)"),0.0)</f>
        <v>0</v>
      </c>
      <c r="P38" s="63">
        <f>IFERROR(__xludf.DUMMYFUNCTION("IF(I38&gt;0, ($L38+$M38) * I38 * ($K38 - IF(REGEXMATCH($D38, $B38), IF(REGEXMATCH($D38, Staff_Bonuses[[#HEADERS],[Py]]), Staff_Bonuses[Py],) + IF(REGEXMATCH($D38, Staff_Bonuses[[#HEADERS],[He]]), Staff_Bonuses[He],) + IF(REGEXMATCH($D38, Staff_Bonuses[[#HEAD"&amp;"ERS],[Vo]]), Staff_Bonuses[Vo],)) + IF(AND(REGEXMATCH($D38, $C38), REGEXMATCH($D38,Staff_Bonuses[[#HEADERS],[Vo]])), Staff_Bonuses[Vo],) ) / $K38, 0)"),0.0)</f>
        <v>0</v>
      </c>
      <c r="Q38" s="92">
        <f t="shared" si="5"/>
        <v>1026.925846</v>
      </c>
      <c r="R38" s="65"/>
      <c r="S38" s="69" t="str">
        <f t="shared" si="3"/>
        <v/>
      </c>
      <c r="T38" s="92">
        <f>Q38 * Staff_Bonuses[Special
Mult]</f>
        <v>1540.388769</v>
      </c>
      <c r="U38" s="92"/>
      <c r="V38" s="72" t="str">
        <f t="shared" si="4"/>
        <v/>
      </c>
    </row>
    <row r="39" ht="22.5" customHeight="1">
      <c r="A39" s="106" t="s">
        <v>111</v>
      </c>
      <c r="B39" s="108" t="s">
        <v>22</v>
      </c>
      <c r="C39" s="108" t="s">
        <v>22</v>
      </c>
      <c r="D39" s="108" t="s">
        <v>110</v>
      </c>
      <c r="E39" s="109">
        <f>IFERROR(__xludf.DUMMYFUNCTION("200 + Scaling!$B$6 + Scaling!$B$15 + (INDEX(SPLIT(A39, "".""),3) + VLOOKUP(INDEX(SPLIT(A39, "".""),2), Rarity_Bonus_Levels_[[Identifier]:[Bonus Lvls]], 2) - 1) * (Scaling!$B$7 + Scaling!$B$16)"),2600.8)</f>
        <v>2600.8</v>
      </c>
      <c r="F39" s="109">
        <f>IFERROR(__xludf.DUMMYFUNCTION("Scaling!$B$4 + (INDEX(SPLIT($A39, "".""),3) + VLOOKUP(INDEX(SPLIT($A39, "".""),2), Rarity_Bonus_Levels_[[Identifier]:[Bonus Lvls]], 2) - 1) * (Scaling!$B$5)"),449.0)</f>
        <v>449</v>
      </c>
      <c r="G39" s="31">
        <v>0.0</v>
      </c>
      <c r="H39" s="33">
        <v>0.2</v>
      </c>
      <c r="I39" s="33">
        <v>0.0</v>
      </c>
      <c r="J39" s="34">
        <v>0.25</v>
      </c>
      <c r="K39" s="90">
        <f>IFERROR(__xludf.DUMMYFUNCTION("1 + J39 + IF(REGEXMATCH(D39, Staff_Bonuses[[#HEADERS],[Pe]]), Staff_Bonuses[Pe]) + IF(REGEXMATCH(D39, Staff_Bonuses[[#HEADERS],[Tr1]]), Staff_Bonuses[Tr1], 0) + IF(REGEXMATCH(D39, Staff_Bonuses[[#HEADERS],[Tr2]]), Staff_Bonuses[Tr2], 0) + IF(REGEXMATCH(D3"&amp;"9, B39), IF(REGEXMATCH(D39, Staff_Bonuses[[#HEADERS],[Py]]), Staff_Bonuses[Py], 0) + IF(REGEXMATCH(D39, Staff_Bonuses[[#HEADERS],[He]]), Staff_Bonuses[He], 0) + IF(REGEXMATCH(D39, Staff_Bonuses[[#HEADERS],[Vo]]), Staff_Bonuses[Vo], 0))"),1.75)</f>
        <v>1.75</v>
      </c>
      <c r="L39" s="44">
        <f>$K39 * E39 / Staff_Bonuses[Mag/Dmg]</f>
        <v>70.02153846</v>
      </c>
      <c r="M39" s="44">
        <f t="shared" si="1"/>
        <v>785.75</v>
      </c>
      <c r="N39" s="44">
        <f>IFERROR(__xludf.DUMMYFUNCTION("IF(G39&gt;0, ($L39+$M39) * G39 * ($K39 - IF(REGEXMATCH($D39, $B39), IF(REGEXMATCH($D39, Staff_Bonuses[[#HEADERS],[Py]]), Staff_Bonuses[Py],) + IF(REGEXMATCH($D39, Staff_Bonuses[[#HEADERS],[He]]), Staff_Bonuses[He],) + IF(REGEXMATCH($D39, Staff_Bonuses[[#HEAD"&amp;"ERS],[Vo]]), Staff_Bonuses[Vo],)) + IF(AND(REGEXMATCH($D39, $C39), REGEXMATCH($D39,Staff_Bonuses[[#HEADERS],[Py]])), Staff_Bonuses[Py],) ) / $K39, 0)"),0.0)</f>
        <v>0</v>
      </c>
      <c r="O39" s="44">
        <f>IFERROR(__xludf.DUMMYFUNCTION("IF(H39&gt;0, ($L39+$M39) * H39 * ($K39 - IF(REGEXMATCH($D39, $B39), IF(REGEXMATCH($D39, Staff_Bonuses[[#HEADERS],[Py]]), Staff_Bonuses[Py],) + IF(REGEXMATCH($D39, Staff_Bonuses[[#HEADERS],[He]]), Staff_Bonuses[He],) + IF(REGEXMATCH($D39, Staff_Bonuses[[#HEAD"&amp;"ERS],[Vo]]), Staff_Bonuses[Vo],)) + IF(AND(REGEXMATCH($D39, $C39), REGEXMATCH($D39,Staff_Bonuses[[#HEADERS],[He]])), Staff_Bonuses[He],) ) / $K39, 0)"),151.59381538461543)</f>
        <v>151.5938154</v>
      </c>
      <c r="P39" s="63">
        <f>IFERROR(__xludf.DUMMYFUNCTION("IF(I39&gt;0, ($L39+$M39) * I39 * ($K39 - IF(REGEXMATCH($D39, $B39), IF(REGEXMATCH($D39, Staff_Bonuses[[#HEADERS],[Py]]), Staff_Bonuses[Py],) + IF(REGEXMATCH($D39, Staff_Bonuses[[#HEADERS],[He]]), Staff_Bonuses[He],) + IF(REGEXMATCH($D39, Staff_Bonuses[[#HEAD"&amp;"ERS],[Vo]]), Staff_Bonuses[Vo],)) + IF(AND(REGEXMATCH($D39, $C39), REGEXMATCH($D39,Staff_Bonuses[[#HEADERS],[Vo]])), Staff_Bonuses[Vo],) ) / $K39, 0)"),0.0)</f>
        <v>0</v>
      </c>
      <c r="Q39" s="92">
        <f t="shared" si="5"/>
        <v>1007.365354</v>
      </c>
      <c r="R39" s="65"/>
      <c r="S39" s="69" t="str">
        <f t="shared" si="3"/>
        <v/>
      </c>
      <c r="T39" s="92">
        <f>Q39 * Staff_Bonuses[Special
Mult]</f>
        <v>1511.048031</v>
      </c>
      <c r="U39" s="92"/>
      <c r="V39" s="72" t="str">
        <f t="shared" si="4"/>
        <v/>
      </c>
    </row>
    <row r="40" ht="22.5" customHeight="1">
      <c r="A40" s="280" t="s">
        <v>111</v>
      </c>
      <c r="B40" s="281" t="s">
        <v>22</v>
      </c>
      <c r="C40" s="281" t="s">
        <v>22</v>
      </c>
      <c r="D40" s="281" t="s">
        <v>110</v>
      </c>
      <c r="E40" s="93">
        <f>IFERROR(__xludf.DUMMYFUNCTION("200 + Scaling!$B$6 + Scaling!$B$15 + (INDEX(SPLIT(A40, "".""),3) + VLOOKUP(INDEX(SPLIT(A40, "".""),2), Rarity_Bonus_Levels_[[Identifier]:[Bonus Lvls]], 2) - 1) * (Scaling!$B$7 + Scaling!$B$16)"),2600.8)</f>
        <v>2600.8</v>
      </c>
      <c r="F40" s="93">
        <f>IFERROR(__xludf.DUMMYFUNCTION("Scaling!$B$4 + (INDEX(SPLIT($A40, "".""),3) + VLOOKUP(INDEX(SPLIT($A40, "".""),2), Rarity_Bonus_Levels_[[Identifier]:[Bonus Lvls]], 2) - 1) * (Scaling!$B$5)"),449.0)</f>
        <v>449</v>
      </c>
      <c r="G40" s="31">
        <v>0.0</v>
      </c>
      <c r="H40" s="33">
        <v>0.0</v>
      </c>
      <c r="I40" s="33">
        <v>0.0</v>
      </c>
      <c r="J40" s="34">
        <v>0.25</v>
      </c>
      <c r="K40" s="90">
        <f>IFERROR(__xludf.DUMMYFUNCTION("1 + J40 + IF(REGEXMATCH(D40, Staff_Bonuses[[#HEADERS],[Pe]]), Staff_Bonuses[Pe]) + IF(REGEXMATCH(D40, Staff_Bonuses[[#HEADERS],[Tr1]]), Staff_Bonuses[Tr1], 0) + IF(REGEXMATCH(D40, Staff_Bonuses[[#HEADERS],[Tr2]]), Staff_Bonuses[Tr2], 0) + IF(REGEXMATCH(D4"&amp;"0, B40), IF(REGEXMATCH(D40, Staff_Bonuses[[#HEADERS],[Py]]), Staff_Bonuses[Py], 0) + IF(REGEXMATCH(D40, Staff_Bonuses[[#HEADERS],[He]]), Staff_Bonuses[He], 0) + IF(REGEXMATCH(D40, Staff_Bonuses[[#HEADERS],[Vo]]), Staff_Bonuses[Vo], 0))"),1.75)</f>
        <v>1.75</v>
      </c>
      <c r="L40" s="44">
        <f>$K40 * E40 / Staff_Bonuses[Mag/Dmg]</f>
        <v>70.02153846</v>
      </c>
      <c r="M40" s="44">
        <f t="shared" si="1"/>
        <v>785.75</v>
      </c>
      <c r="N40" s="44">
        <f>IFERROR(__xludf.DUMMYFUNCTION("IF(G40&gt;0, ($L40+$M40) * G40 * ($K40 - IF(REGEXMATCH($D40, $B40), IF(REGEXMATCH($D40, Staff_Bonuses[[#HEADERS],[Py]]), Staff_Bonuses[Py],) + IF(REGEXMATCH($D40, Staff_Bonuses[[#HEADERS],[He]]), Staff_Bonuses[He],) + IF(REGEXMATCH($D40, Staff_Bonuses[[#HEAD"&amp;"ERS],[Vo]]), Staff_Bonuses[Vo],)) + IF(AND(REGEXMATCH($D40, $C40), REGEXMATCH($D40,Staff_Bonuses[[#HEADERS],[Py]])), Staff_Bonuses[Py],) ) / $K40, 0)"),0.0)</f>
        <v>0</v>
      </c>
      <c r="O40" s="44">
        <f>IFERROR(__xludf.DUMMYFUNCTION("IF(H40&gt;0, ($L40+$M40) * H40 * ($K40 - IF(REGEXMATCH($D40, $B40), IF(REGEXMATCH($D40, Staff_Bonuses[[#HEADERS],[Py]]), Staff_Bonuses[Py],) + IF(REGEXMATCH($D40, Staff_Bonuses[[#HEADERS],[He]]), Staff_Bonuses[He],) + IF(REGEXMATCH($D40, Staff_Bonuses[[#HEAD"&amp;"ERS],[Vo]]), Staff_Bonuses[Vo],)) + IF(AND(REGEXMATCH($D40, $C40), REGEXMATCH($D40,Staff_Bonuses[[#HEADERS],[He]])), Staff_Bonuses[He],) ) / $K40, 0)"),0.0)</f>
        <v>0</v>
      </c>
      <c r="P40" s="63">
        <f>IFERROR(__xludf.DUMMYFUNCTION("IF(I40&gt;0, ($L40+$M40) * I40 * ($K40 - IF(REGEXMATCH($D40, $B40), IF(REGEXMATCH($D40, Staff_Bonuses[[#HEADERS],[Py]]), Staff_Bonuses[Py],) + IF(REGEXMATCH($D40, Staff_Bonuses[[#HEADERS],[He]]), Staff_Bonuses[He],) + IF(REGEXMATCH($D40, Staff_Bonuses[[#HEAD"&amp;"ERS],[Vo]]), Staff_Bonuses[Vo],)) + IF(AND(REGEXMATCH($D40, $C40), REGEXMATCH($D40,Staff_Bonuses[[#HEADERS],[Vo]])), Staff_Bonuses[Vo],) ) / $K40, 0)"),0.0)</f>
        <v>0</v>
      </c>
      <c r="Q40" s="92">
        <f t="shared" si="5"/>
        <v>855.7715385</v>
      </c>
      <c r="R40" s="65"/>
      <c r="S40" s="69" t="str">
        <f t="shared" si="3"/>
        <v/>
      </c>
      <c r="T40" s="92">
        <f>Q40 * Staff_Bonuses[Special
Mult]</f>
        <v>1283.657308</v>
      </c>
      <c r="U40" s="92"/>
      <c r="V40" s="72" t="str">
        <f t="shared" si="4"/>
        <v/>
      </c>
    </row>
    <row r="41">
      <c r="J41" s="7"/>
      <c r="K41" s="7"/>
      <c r="L41" s="7"/>
      <c r="M41" s="7"/>
    </row>
    <row r="42">
      <c r="J42" s="7"/>
      <c r="K42" s="7"/>
      <c r="L42" s="7"/>
      <c r="M42" s="7"/>
    </row>
    <row r="43">
      <c r="J43" s="7"/>
      <c r="K43" s="7"/>
      <c r="L43" s="7"/>
      <c r="M43" s="7"/>
    </row>
    <row r="44">
      <c r="J44" s="7"/>
      <c r="K44" s="7"/>
      <c r="L44" s="7"/>
      <c r="M44" s="7"/>
    </row>
  </sheetData>
  <mergeCells count="6">
    <mergeCell ref="C1:E1"/>
    <mergeCell ref="F1:H1"/>
    <mergeCell ref="A5:J5"/>
    <mergeCell ref="K5:P5"/>
    <mergeCell ref="Q5:S5"/>
    <mergeCell ref="T5:V5"/>
  </mergeCells>
  <conditionalFormatting sqref="S7:S40">
    <cfRule type="colorScale" priority="1">
      <colorScale>
        <cfvo type="formula" val="0"/>
        <cfvo type="formula" val="0.015"/>
        <cfvo type="formula" val="0.03"/>
        <color rgb="FF57BB8A"/>
        <color rgb="FFFFD666"/>
        <color rgb="FFE67C73"/>
      </colorScale>
    </cfRule>
  </conditionalFormatting>
  <conditionalFormatting sqref="V7:V40">
    <cfRule type="colorScale" priority="2">
      <colorScale>
        <cfvo type="formula" val="0"/>
        <cfvo type="formula" val="0.015"/>
        <cfvo type="formula" val="0.03"/>
        <color rgb="FF57BB8A"/>
        <color rgb="FFFFD666"/>
        <color rgb="FFE67C73"/>
      </colorScale>
    </cfRule>
  </conditionalFormatting>
  <conditionalFormatting sqref="A1:V44">
    <cfRule type="cellIs" dxfId="7" priority="3" operator="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1.13"/>
    <col customWidth="1" min="2" max="22" width="10.63"/>
    <col customWidth="1" min="23" max="23" width="11.13"/>
    <col customWidth="1" min="24" max="26" width="10.63"/>
  </cols>
  <sheetData>
    <row r="1">
      <c r="B1" s="3"/>
      <c r="D1" s="3" t="s">
        <v>1</v>
      </c>
      <c r="G1" s="8" t="s">
        <v>3</v>
      </c>
      <c r="J1" s="7"/>
      <c r="K1" s="7"/>
      <c r="L1" s="7"/>
      <c r="M1" s="7"/>
    </row>
    <row r="2" ht="22.5" customHeight="1">
      <c r="A2" s="13" t="s">
        <v>10</v>
      </c>
      <c r="B2" s="13" t="s">
        <v>7</v>
      </c>
      <c r="C2" s="9" t="s">
        <v>13</v>
      </c>
      <c r="D2" s="14" t="s">
        <v>15</v>
      </c>
      <c r="E2" s="9" t="s">
        <v>18</v>
      </c>
      <c r="F2" s="9" t="s">
        <v>20</v>
      </c>
      <c r="G2" s="14" t="s">
        <v>22</v>
      </c>
      <c r="H2" s="9" t="s">
        <v>23</v>
      </c>
      <c r="I2" s="9" t="s">
        <v>25</v>
      </c>
      <c r="L2" s="7"/>
      <c r="M2" s="7"/>
      <c r="N2" s="7"/>
      <c r="O2" s="7"/>
    </row>
    <row r="3" ht="22.5" customHeight="1">
      <c r="A3" s="16">
        <v>46.0</v>
      </c>
      <c r="B3" s="16">
        <v>60.0</v>
      </c>
      <c r="C3" s="18">
        <v>2.0</v>
      </c>
      <c r="D3" s="17">
        <v>0.1</v>
      </c>
      <c r="E3" s="15">
        <v>0.1</v>
      </c>
      <c r="F3" s="15">
        <v>0.2</v>
      </c>
      <c r="G3" s="17">
        <v>0.2</v>
      </c>
      <c r="H3" s="15">
        <v>0.2</v>
      </c>
      <c r="I3" s="16">
        <v>0.2</v>
      </c>
      <c r="L3" s="7"/>
      <c r="M3" s="7"/>
      <c r="N3" s="7"/>
      <c r="O3" s="7"/>
    </row>
    <row r="4">
      <c r="J4" s="7"/>
      <c r="K4" s="7"/>
      <c r="L4" s="7"/>
      <c r="M4" s="7"/>
    </row>
    <row r="5">
      <c r="A5" s="19" t="s">
        <v>27</v>
      </c>
      <c r="K5" s="20" t="s">
        <v>28</v>
      </c>
      <c r="M5" s="20" t="s">
        <v>35</v>
      </c>
      <c r="Q5" s="20" t="s">
        <v>37</v>
      </c>
      <c r="U5" s="20" t="s">
        <v>29</v>
      </c>
      <c r="X5" s="20" t="s">
        <v>30</v>
      </c>
    </row>
    <row r="6" ht="22.5" customHeight="1">
      <c r="A6" s="9" t="s">
        <v>40</v>
      </c>
      <c r="B6" s="21" t="s">
        <v>33</v>
      </c>
      <c r="C6" s="21" t="s">
        <v>34</v>
      </c>
      <c r="D6" s="9" t="s">
        <v>45</v>
      </c>
      <c r="E6" s="9" t="s">
        <v>36</v>
      </c>
      <c r="F6" s="9" t="s">
        <v>38</v>
      </c>
      <c r="G6" s="22" t="s">
        <v>39</v>
      </c>
      <c r="H6" s="22" t="s">
        <v>41</v>
      </c>
      <c r="I6" s="22" t="s">
        <v>42</v>
      </c>
      <c r="J6" s="23" t="s">
        <v>43</v>
      </c>
      <c r="K6" s="24" t="s">
        <v>46</v>
      </c>
      <c r="L6" s="9" t="s">
        <v>48</v>
      </c>
      <c r="M6" s="24" t="s">
        <v>61</v>
      </c>
      <c r="N6" s="9" t="s">
        <v>50</v>
      </c>
      <c r="O6" s="9" t="s">
        <v>51</v>
      </c>
      <c r="P6" s="25" t="s">
        <v>52</v>
      </c>
      <c r="Q6" s="14" t="s">
        <v>47</v>
      </c>
      <c r="R6" s="9" t="s">
        <v>66</v>
      </c>
      <c r="S6" s="9" t="s">
        <v>67</v>
      </c>
      <c r="T6" s="9" t="s">
        <v>68</v>
      </c>
      <c r="U6" s="14" t="s">
        <v>53</v>
      </c>
      <c r="V6" s="9" t="s">
        <v>54</v>
      </c>
      <c r="W6" s="25" t="s">
        <v>57</v>
      </c>
      <c r="X6" s="14" t="s">
        <v>72</v>
      </c>
      <c r="Y6" s="9" t="s">
        <v>60</v>
      </c>
      <c r="Z6" s="9" t="s">
        <v>62</v>
      </c>
    </row>
    <row r="7" ht="22.5" customHeight="1">
      <c r="A7" s="35" t="s">
        <v>75</v>
      </c>
      <c r="B7" s="36" t="s">
        <v>22</v>
      </c>
      <c r="C7" s="37" t="s">
        <v>25</v>
      </c>
      <c r="D7" s="38">
        <v>379.0</v>
      </c>
      <c r="E7" s="39">
        <v>216.0</v>
      </c>
      <c r="F7" s="40">
        <v>113.0</v>
      </c>
      <c r="G7" s="41">
        <v>0.08</v>
      </c>
      <c r="H7" s="41">
        <v>0.08</v>
      </c>
      <c r="I7" s="41">
        <v>0.08</v>
      </c>
      <c r="J7" s="42">
        <v>0.0</v>
      </c>
      <c r="K7" s="45">
        <f>IFERROR(__xludf.DUMMYFUNCTION("1 + J7 + IF(REGEXMATCH(C7, Bow_Bonuses[[#HEADERS],[Pe]]), Bow_Bonuses[Pe]) + IF(REGEXMATCH(C7, Bow_Bonuses[[#HEADERS],[Tr1]]), Bow_Bonuses[Tr1], 0) + IF(REGEXMATCH(C7, Bow_Bonuses[[#HEADERS],[Tr2]]), Bow_Bonuses[Tr2], 0)"),1.0)</f>
        <v>1</v>
      </c>
      <c r="L7" s="46">
        <f t="shared" ref="L7:L32" si="1">F7 * K7</f>
        <v>113</v>
      </c>
      <c r="M7" s="49">
        <f>$K7 *D7 / Bow_Bonuses[Stam/Dmg]</f>
        <v>8.239130435</v>
      </c>
      <c r="N7" s="46">
        <f>IFERROR(__xludf.DUMMYFUNCTION("IF(G7&gt;0, ($L7+$M7) * G7 * ($K7 + IF(AND(REGEXMATCH($C7, $B7), REGEXMATCH($C7,Bow_Bonuses[[#HEADERS],[Py]])), Bow_Bonuses[Py],) ) / $K7, 0)"),9.699130434782608)</f>
        <v>9.699130435</v>
      </c>
      <c r="O7" s="46">
        <f>IFERROR(__xludf.DUMMYFUNCTION("IF(H7&gt;0, ($L7+$M7) * H7 * ($K7 + IF(AND(REGEXMATCH($C7, $B7), REGEXMATCH($C7,Bow_Bonuses[[#HEADERS],[He]])), Bow_Bonuses[He],) ) / $K7, 0)"),9.699130434782608)</f>
        <v>9.699130435</v>
      </c>
      <c r="P7" s="46">
        <f>IFERROR(__xludf.DUMMYFUNCTION("IF(I7&gt;0, ($L7+$M7) * I7 * ($K7 + IF(AND(REGEXMATCH($C7, $B7), REGEXMATCH($C7,Bow_Bonuses[[#HEADERS],[Vo]])), Bow_Bonuses[Vo],) ) / $K7, 0)"),9.699130434782608)</f>
        <v>9.699130435</v>
      </c>
      <c r="Q7" s="49">
        <f>$K7 *E7 / Bow_Bonuses[Mag/Dmg]</f>
        <v>3.6</v>
      </c>
      <c r="R7" s="46">
        <f>IFERROR(__xludf.DUMMYFUNCTION("IF(G7&gt;0, ($L7+$Q7) * G7 * ($K7 + IF(AND(REGEXMATCH($C7, $B7), REGEXMATCH($C7,Bow_Bonuses[[#HEADERS],[Py]])), Bow_Bonuses[Py],) ) / $K7, 0)"),9.328)</f>
        <v>9.328</v>
      </c>
      <c r="S7" s="46">
        <f>IFERROR(__xludf.DUMMYFUNCTION("IF(H7&gt;0, ($L7+$Q7) * H7 * ($K7 + IF(AND(REGEXMATCH($C7, $B7), REGEXMATCH($C7,Bow_Bonuses[[#HEADERS],[He]])), Bow_Bonuses[He],) ) / $K7, 0)"),9.328)</f>
        <v>9.328</v>
      </c>
      <c r="T7" s="46">
        <f>IFERROR(__xludf.DUMMYFUNCTION("IF(I7&gt;0, ($L7+$Q7) * I7 * ($K7 + IF(AND(REGEXMATCH($C7, $B7), REGEXMATCH($C7,Bow_Bonuses[[#HEADERS],[Vo]])), Bow_Bonuses[Vo],) ) / $K7, 0)"),9.328)</f>
        <v>9.328</v>
      </c>
      <c r="U7" s="66">
        <f t="shared" ref="U7:U32" si="2">SUM(L7:P7)</f>
        <v>150.3365217</v>
      </c>
      <c r="V7" s="67">
        <v>150.0</v>
      </c>
      <c r="W7" s="70">
        <f t="shared" ref="W7:W32" si="3">IF(AND(U7&gt;0,V7&gt;0), ABS(V7-U7)/V7, )</f>
        <v>0.002243478261</v>
      </c>
      <c r="X7" s="73">
        <f>IFERROR(__xludf.DUMMYFUNCTION("Bow_Bonuses[Special
Mult] * ((L7 + Q7) * (K7 + IF(REGEXMATCH(C7, B7), If(REGEXMATCH(C7, Bow_Bonuses[[#HEADERS],[Py]]), Bow_Bonuses[Py], 0) + If(REGEXMATCH(C7, Bow_Bonuses[[#HEADERS],[He]]), Bow_Bonuses[He], 0) + If(REGEXMATCH(C7, Bow_Bonuses[[#HEADERS],[V"&amp;"o]]), Bow_Bonuses[Vo], 0), 0)) / K7 + SUM(R7:T7))"),289.168)</f>
        <v>289.168</v>
      </c>
      <c r="Y7" s="39">
        <v>290.0</v>
      </c>
      <c r="Z7" s="74">
        <f t="shared" ref="Z7:Z32" si="4">IF(AND(X7&gt;0,Y7&gt;0), ABS(Y7-X7)/Y7, )</f>
        <v>0.002868965517</v>
      </c>
    </row>
    <row r="8" ht="22.5" customHeight="1">
      <c r="A8" s="35" t="s">
        <v>75</v>
      </c>
      <c r="B8" s="36" t="s">
        <v>22</v>
      </c>
      <c r="C8" s="76" t="s">
        <v>25</v>
      </c>
      <c r="D8" s="77">
        <v>646.0</v>
      </c>
      <c r="E8" s="39">
        <v>216.0</v>
      </c>
      <c r="F8" s="40">
        <v>113.0</v>
      </c>
      <c r="G8" s="41">
        <v>0.08</v>
      </c>
      <c r="H8" s="41">
        <v>0.08</v>
      </c>
      <c r="I8" s="41">
        <v>0.08</v>
      </c>
      <c r="J8" s="78">
        <v>0.3</v>
      </c>
      <c r="K8" s="45">
        <f>IFERROR(__xludf.DUMMYFUNCTION("1 + J8 + IF(REGEXMATCH(C8, Bow_Bonuses[[#HEADERS],[Pe]]), Bow_Bonuses[Pe]) + IF(REGEXMATCH(C8, Bow_Bonuses[[#HEADERS],[Tr1]]), Bow_Bonuses[Tr1], 0) + IF(REGEXMATCH(C8, Bow_Bonuses[[#HEADERS],[Tr2]]), Bow_Bonuses[Tr2], 0)"),1.3)</f>
        <v>1.3</v>
      </c>
      <c r="L8" s="46">
        <f t="shared" si="1"/>
        <v>146.9</v>
      </c>
      <c r="M8" s="49">
        <f>$K8 *D8 / Bow_Bonuses[Stam/Dmg]</f>
        <v>18.25652174</v>
      </c>
      <c r="N8" s="46">
        <f>IFERROR(__xludf.DUMMYFUNCTION("IF(G8&gt;0, ($L8+$M8) * G8 * ($K8 + IF(AND(REGEXMATCH($C8, $B8), REGEXMATCH($C8,Bow_Bonuses[[#HEADERS],[Py]])), Bow_Bonuses[Py],) ) / $K8, 0)"),13.212521739130437)</f>
        <v>13.21252174</v>
      </c>
      <c r="O8" s="46">
        <f>IFERROR(__xludf.DUMMYFUNCTION("IF(H8&gt;0, ($L8+$M8) * H8 * ($K8 + IF(AND(REGEXMATCH($C8, $B8), REGEXMATCH($C8,Bow_Bonuses[[#HEADERS],[He]])), Bow_Bonuses[He],) ) / $K8, 0)"),13.212521739130437)</f>
        <v>13.21252174</v>
      </c>
      <c r="P8" s="46">
        <f>IFERROR(__xludf.DUMMYFUNCTION("IF(I8&gt;0, ($L8+$M8) * I8 * ($K8 + IF(AND(REGEXMATCH($C8, $B8), REGEXMATCH($C8,Bow_Bonuses[[#HEADERS],[Vo]])), Bow_Bonuses[Vo],) ) / $K8, 0)"),13.212521739130437)</f>
        <v>13.21252174</v>
      </c>
      <c r="Q8" s="49">
        <f>$K8 *E8 / Bow_Bonuses[Mag/Dmg]</f>
        <v>4.68</v>
      </c>
      <c r="R8" s="46">
        <f>IFERROR(__xludf.DUMMYFUNCTION("IF(G8&gt;0, ($L8+$Q8) * G8 * ($K8 + IF(AND(REGEXMATCH($C8, $B8), REGEXMATCH($C8,Bow_Bonuses[[#HEADERS],[Py]])), Bow_Bonuses[Py],) ) / $K8, 0)"),12.126400000000002)</f>
        <v>12.1264</v>
      </c>
      <c r="S8" s="46">
        <f>IFERROR(__xludf.DUMMYFUNCTION("IF(H8&gt;0, ($L8+$Q8) * H8 * ($K8 + IF(AND(REGEXMATCH($C8, $B8), REGEXMATCH($C8,Bow_Bonuses[[#HEADERS],[He]])), Bow_Bonuses[He],) ) / $K8, 0)"),12.126400000000002)</f>
        <v>12.1264</v>
      </c>
      <c r="T8" s="46">
        <f>IFERROR(__xludf.DUMMYFUNCTION("IF(I8&gt;0, ($L8+$Q8) * I8 * ($K8 + IF(AND(REGEXMATCH($C8, $B8), REGEXMATCH($C8,Bow_Bonuses[[#HEADERS],[Vo]])), Bow_Bonuses[Vo],) ) / $K8, 0)"),12.126400000000002)</f>
        <v>12.1264</v>
      </c>
      <c r="U8" s="66">
        <f t="shared" si="2"/>
        <v>204.794087</v>
      </c>
      <c r="V8" s="86">
        <v>205.0</v>
      </c>
      <c r="W8" s="70">
        <f t="shared" si="3"/>
        <v>0.001004453871</v>
      </c>
      <c r="X8" s="73">
        <f>IFERROR(__xludf.DUMMYFUNCTION("Bow_Bonuses[Special
Mult] * ((L8 + Q8) * (K8 + IF(REGEXMATCH(C8, B8), If(REGEXMATCH(C8, Bow_Bonuses[[#HEADERS],[Py]]), Bow_Bonuses[Py], 0) + If(REGEXMATCH(C8, Bow_Bonuses[[#HEADERS],[He]]), Bow_Bonuses[He], 0) + If(REGEXMATCH(C8, Bow_Bonuses[[#HEADERS],[V"&amp;"o]]), Bow_Bonuses[Vo], 0), 0)) / K8 + SUM(R8:T8))"),375.9184)</f>
        <v>375.9184</v>
      </c>
      <c r="Y8" s="39">
        <v>377.0</v>
      </c>
      <c r="Z8" s="74">
        <f t="shared" si="4"/>
        <v>0.002868965517</v>
      </c>
    </row>
    <row r="9" ht="22.5" customHeight="1">
      <c r="A9" s="35" t="s">
        <v>75</v>
      </c>
      <c r="B9" s="36" t="s">
        <v>22</v>
      </c>
      <c r="C9" s="76" t="s">
        <v>25</v>
      </c>
      <c r="D9" s="77">
        <v>379.0</v>
      </c>
      <c r="E9" s="39">
        <v>640.0</v>
      </c>
      <c r="F9" s="40">
        <v>113.0</v>
      </c>
      <c r="G9" s="41">
        <v>0.08</v>
      </c>
      <c r="H9" s="41">
        <v>0.08</v>
      </c>
      <c r="I9" s="41">
        <v>0.08</v>
      </c>
      <c r="J9" s="78">
        <v>0.0</v>
      </c>
      <c r="K9" s="91">
        <f>IFERROR(__xludf.DUMMYFUNCTION("1 + J9 + IF(REGEXMATCH(C9, Bow_Bonuses[[#HEADERS],[Pe]]), Bow_Bonuses[Pe]) + IF(REGEXMATCH(C9, Bow_Bonuses[[#HEADERS],[Tr1]]), Bow_Bonuses[Tr1], 0) + IF(REGEXMATCH(C9, Bow_Bonuses[[#HEADERS],[Tr2]]), Bow_Bonuses[Tr2], 0)"),1.0)</f>
        <v>1</v>
      </c>
      <c r="L9" s="46">
        <f t="shared" si="1"/>
        <v>113</v>
      </c>
      <c r="M9" s="49">
        <f>$K9 *D9 / Bow_Bonuses[Stam/Dmg]</f>
        <v>8.239130435</v>
      </c>
      <c r="N9" s="46">
        <f>IFERROR(__xludf.DUMMYFUNCTION("IF(G9&gt;0, ($L9+$M9) * G9 * ($K9 + IF(AND(REGEXMATCH($C9, $B9), REGEXMATCH($C9,Bow_Bonuses[[#HEADERS],[Py]])), Bow_Bonuses[Py],) ) / $K9, 0)"),9.699130434782608)</f>
        <v>9.699130435</v>
      </c>
      <c r="O9" s="46">
        <f>IFERROR(__xludf.DUMMYFUNCTION("IF(H9&gt;0, ($L9+$M9) * H9 * ($K9 + IF(AND(REGEXMATCH($C9, $B9), REGEXMATCH($C9,Bow_Bonuses[[#HEADERS],[He]])), Bow_Bonuses[He],) ) / $K9, 0)"),9.699130434782608)</f>
        <v>9.699130435</v>
      </c>
      <c r="P9" s="46">
        <f>IFERROR(__xludf.DUMMYFUNCTION("IF(I9&gt;0, ($L9+$M9) * I9 * ($K9 + IF(AND(REGEXMATCH($C9, $B9), REGEXMATCH($C9,Bow_Bonuses[[#HEADERS],[Vo]])), Bow_Bonuses[Vo],) ) / $K9, 0)"),9.699130434782608)</f>
        <v>9.699130435</v>
      </c>
      <c r="Q9" s="49">
        <f>$K9 *E9 / Bow_Bonuses[Mag/Dmg]</f>
        <v>10.66666667</v>
      </c>
      <c r="R9" s="46">
        <f>IFERROR(__xludf.DUMMYFUNCTION("IF(G9&gt;0, ($L9+$Q9) * G9 * ($K9 + IF(AND(REGEXMATCH($C9, $B9), REGEXMATCH($C9,Bow_Bonuses[[#HEADERS],[Py]])), Bow_Bonuses[Py],) ) / $K9, 0)"),9.893333333333334)</f>
        <v>9.893333333</v>
      </c>
      <c r="S9" s="46">
        <f>IFERROR(__xludf.DUMMYFUNCTION("IF(H9&gt;0, ($L9+$Q9) * H9 * ($K9 + IF(AND(REGEXMATCH($C9, $B9), REGEXMATCH($C9,Bow_Bonuses[[#HEADERS],[He]])), Bow_Bonuses[He],) ) / $K9, 0)"),9.893333333333334)</f>
        <v>9.893333333</v>
      </c>
      <c r="T9" s="46">
        <f>IFERROR(__xludf.DUMMYFUNCTION("IF(I9&gt;0, ($L9+$Q9) * I9 * ($K9 + IF(AND(REGEXMATCH($C9, $B9), REGEXMATCH($C9,Bow_Bonuses[[#HEADERS],[Vo]])), Bow_Bonuses[Vo],) ) / $K9, 0)"),9.893333333333334)</f>
        <v>9.893333333</v>
      </c>
      <c r="U9" s="66">
        <f t="shared" si="2"/>
        <v>150.3365217</v>
      </c>
      <c r="V9" s="67">
        <v>150.0</v>
      </c>
      <c r="W9" s="70">
        <f t="shared" si="3"/>
        <v>0.002243478261</v>
      </c>
      <c r="X9" s="94">
        <f>IFERROR(__xludf.DUMMYFUNCTION("Bow_Bonuses[Special
Mult] * ((L9 + Q9) * (K9 + IF(REGEXMATCH(C9, B9), If(REGEXMATCH(C9, Bow_Bonuses[[#HEADERS],[Py]]), Bow_Bonuses[Py], 0) + If(REGEXMATCH(C9, Bow_Bonuses[[#HEADERS],[He]]), Bow_Bonuses[He], 0) + If(REGEXMATCH(C9, Bow_Bonuses[[#HEADERS],[V"&amp;"o]]), Bow_Bonuses[Vo], 0), 0)) / K9 + SUM(R9:T9))"),306.6933333333333)</f>
        <v>306.6933333</v>
      </c>
      <c r="Y9" s="39">
        <v>305.0</v>
      </c>
      <c r="Z9" s="74">
        <f t="shared" si="4"/>
        <v>0.005551912568</v>
      </c>
    </row>
    <row r="10" ht="22.5" customHeight="1">
      <c r="A10" s="35" t="s">
        <v>94</v>
      </c>
      <c r="B10" s="36" t="s">
        <v>22</v>
      </c>
      <c r="C10" s="76" t="s">
        <v>25</v>
      </c>
      <c r="D10" s="77">
        <v>438.0</v>
      </c>
      <c r="E10" s="39">
        <v>640.0</v>
      </c>
      <c r="F10" s="40">
        <v>137.0</v>
      </c>
      <c r="G10" s="41">
        <v>0.0</v>
      </c>
      <c r="H10" s="41">
        <v>0.0</v>
      </c>
      <c r="I10" s="41">
        <v>0.0</v>
      </c>
      <c r="J10" s="78">
        <v>0.0</v>
      </c>
      <c r="K10" s="91">
        <f>IFERROR(__xludf.DUMMYFUNCTION("1 + J10 + IF(REGEXMATCH(C10, Bow_Bonuses[[#HEADERS],[Pe]]), Bow_Bonuses[Pe]) + IF(REGEXMATCH(C10, Bow_Bonuses[[#HEADERS],[Tr1]]), Bow_Bonuses[Tr1], 0) + IF(REGEXMATCH(C10, Bow_Bonuses[[#HEADERS],[Tr2]]), Bow_Bonuses[Tr2], 0)"),1.0)</f>
        <v>1</v>
      </c>
      <c r="L10" s="46">
        <f t="shared" si="1"/>
        <v>137</v>
      </c>
      <c r="M10" s="49">
        <f>$K10 *D10 / Bow_Bonuses[Stam/Dmg]</f>
        <v>9.52173913</v>
      </c>
      <c r="N10" s="46">
        <f>IFERROR(__xludf.DUMMYFUNCTION("IF(G10&gt;0, ($L10+$M10) * G10 * ($K10 + IF(AND(REGEXMATCH($C10, $B10), REGEXMATCH($C10,Bow_Bonuses[[#HEADERS],[Py]])), Bow_Bonuses[Py],) ) / $K10, 0)"),0.0)</f>
        <v>0</v>
      </c>
      <c r="O10" s="46">
        <f>IFERROR(__xludf.DUMMYFUNCTION("IF(H10&gt;0, ($L10+$M10) * H10 * ($K10 + IF(AND(REGEXMATCH($C10, $B10), REGEXMATCH($C10,Bow_Bonuses[[#HEADERS],[He]])), Bow_Bonuses[He],) ) / $K10, 0)"),0.0)</f>
        <v>0</v>
      </c>
      <c r="P10" s="46">
        <f>IFERROR(__xludf.DUMMYFUNCTION("IF(I10&gt;0, ($L10+$M10) * I10 * ($K10 + IF(AND(REGEXMATCH($C10, $B10), REGEXMATCH($C10,Bow_Bonuses[[#HEADERS],[Vo]])), Bow_Bonuses[Vo],) ) / $K10, 0)"),0.0)</f>
        <v>0</v>
      </c>
      <c r="Q10" s="49">
        <f>$K10 *E10 / Bow_Bonuses[Mag/Dmg]</f>
        <v>10.66666667</v>
      </c>
      <c r="R10" s="46">
        <f>IFERROR(__xludf.DUMMYFUNCTION("IF(G10&gt;0, ($L10+$Q10) * G10 * ($K10 + IF(AND(REGEXMATCH($C10, $B10), REGEXMATCH($C10,Bow_Bonuses[[#HEADERS],[Py]])), Bow_Bonuses[Py],) ) / $K10, 0)"),0.0)</f>
        <v>0</v>
      </c>
      <c r="S10" s="46">
        <f>IFERROR(__xludf.DUMMYFUNCTION("IF(H10&gt;0, ($L10+$Q10) * H10 * ($K10 + IF(AND(REGEXMATCH($C10, $B10), REGEXMATCH($C10,Bow_Bonuses[[#HEADERS],[He]])), Bow_Bonuses[He],) ) / $K10, 0)"),0.0)</f>
        <v>0</v>
      </c>
      <c r="T10" s="46">
        <f>IFERROR(__xludf.DUMMYFUNCTION("IF(I10&gt;0, ($L10+$Q10) * I10 * ($K10 + IF(AND(REGEXMATCH($C10, $B10), REGEXMATCH($C10,Bow_Bonuses[[#HEADERS],[Vo]])), Bow_Bonuses[Vo],) ) / $K10, 0)"),0.0)</f>
        <v>0</v>
      </c>
      <c r="U10" s="66">
        <f t="shared" si="2"/>
        <v>146.5217391</v>
      </c>
      <c r="V10" s="86">
        <v>147.0</v>
      </c>
      <c r="W10" s="70">
        <f t="shared" si="3"/>
        <v>0.003253475303</v>
      </c>
      <c r="X10" s="94">
        <f>IFERROR(__xludf.DUMMYFUNCTION("Bow_Bonuses[Special
Mult] * ((L10 + Q10) * (K10 + IF(REGEXMATCH(C10, B10), If(REGEXMATCH(C10, Bow_Bonuses[[#HEADERS],[Py]]), Bow_Bonuses[Py], 0) + If(REGEXMATCH(C10, Bow_Bonuses[[#HEADERS],[He]]), Bow_Bonuses[He], 0) + If(REGEXMATCH(C10, Bow_Bonuses[[#HEA"&amp;"DERS],[Vo]]), Bow_Bonuses[Vo], 0), 0)) / K10 + SUM(R10:T10))"),295.3333333333333)</f>
        <v>295.3333333</v>
      </c>
      <c r="Y10" s="39">
        <v>294.0</v>
      </c>
      <c r="Z10" s="74">
        <f t="shared" si="4"/>
        <v>0.004535147392</v>
      </c>
    </row>
    <row r="11" ht="22.5" customHeight="1">
      <c r="A11" s="35" t="s">
        <v>94</v>
      </c>
      <c r="B11" s="36" t="s">
        <v>22</v>
      </c>
      <c r="C11" s="76" t="s">
        <v>25</v>
      </c>
      <c r="D11" s="77">
        <v>705.0</v>
      </c>
      <c r="E11" s="39">
        <v>216.0</v>
      </c>
      <c r="F11" s="40">
        <v>137.0</v>
      </c>
      <c r="G11" s="41">
        <v>0.0</v>
      </c>
      <c r="H11" s="41">
        <v>0.0</v>
      </c>
      <c r="I11" s="41">
        <v>0.0</v>
      </c>
      <c r="J11" s="78">
        <v>0.3</v>
      </c>
      <c r="K11" s="91">
        <f>IFERROR(__xludf.DUMMYFUNCTION("1 + J11 + IF(REGEXMATCH(C11, Bow_Bonuses[[#HEADERS],[Pe]]), Bow_Bonuses[Pe]) + IF(REGEXMATCH(C11, Bow_Bonuses[[#HEADERS],[Tr1]]), Bow_Bonuses[Tr1], 0) + IF(REGEXMATCH(C11, Bow_Bonuses[[#HEADERS],[Tr2]]), Bow_Bonuses[Tr2], 0)"),1.3)</f>
        <v>1.3</v>
      </c>
      <c r="L11" s="46">
        <f t="shared" si="1"/>
        <v>178.1</v>
      </c>
      <c r="M11" s="49">
        <f>$K11 *D11 / Bow_Bonuses[Stam/Dmg]</f>
        <v>19.92391304</v>
      </c>
      <c r="N11" s="46">
        <f>IFERROR(__xludf.DUMMYFUNCTION("IF(G11&gt;0, ($L11+$M11) * G11 * ($K11 + IF(AND(REGEXMATCH($C11, $B11), REGEXMATCH($C11,Bow_Bonuses[[#HEADERS],[Py]])), Bow_Bonuses[Py],) ) / $K11, 0)"),0.0)</f>
        <v>0</v>
      </c>
      <c r="O11" s="46">
        <f>IFERROR(__xludf.DUMMYFUNCTION("IF(H11&gt;0, ($L11+$M11) * H11 * ($K11 + IF(AND(REGEXMATCH($C11, $B11), REGEXMATCH($C11,Bow_Bonuses[[#HEADERS],[He]])), Bow_Bonuses[He],) ) / $K11, 0)"),0.0)</f>
        <v>0</v>
      </c>
      <c r="P11" s="46">
        <f>IFERROR(__xludf.DUMMYFUNCTION("IF(I11&gt;0, ($L11+$M11) * I11 * ($K11 + IF(AND(REGEXMATCH($C11, $B11), REGEXMATCH($C11,Bow_Bonuses[[#HEADERS],[Vo]])), Bow_Bonuses[Vo],) ) / $K11, 0)"),0.0)</f>
        <v>0</v>
      </c>
      <c r="Q11" s="49">
        <f>$K11 *E11 / Bow_Bonuses[Mag/Dmg]</f>
        <v>4.68</v>
      </c>
      <c r="R11" s="46">
        <f>IFERROR(__xludf.DUMMYFUNCTION("IF(G11&gt;0, ($L11+$Q11) * G11 * ($K11 + IF(AND(REGEXMATCH($C11, $B11), REGEXMATCH($C11,Bow_Bonuses[[#HEADERS],[Py]])), Bow_Bonuses[Py],) ) / $K11, 0)"),0.0)</f>
        <v>0</v>
      </c>
      <c r="S11" s="46">
        <f>IFERROR(__xludf.DUMMYFUNCTION("IF(H11&gt;0, ($L11+$Q11) * H11 * ($K11 + IF(AND(REGEXMATCH($C11, $B11), REGEXMATCH($C11,Bow_Bonuses[[#HEADERS],[He]])), Bow_Bonuses[He],) ) / $K11, 0)"),0.0)</f>
        <v>0</v>
      </c>
      <c r="T11" s="46">
        <f>IFERROR(__xludf.DUMMYFUNCTION("IF(I11&gt;0, ($L11+$Q11) * I11 * ($K11 + IF(AND(REGEXMATCH($C11, $B11), REGEXMATCH($C11,Bow_Bonuses[[#HEADERS],[Vo]])), Bow_Bonuses[Vo],) ) / $K11, 0)"),0.0)</f>
        <v>0</v>
      </c>
      <c r="U11" s="66">
        <f t="shared" si="2"/>
        <v>198.023913</v>
      </c>
      <c r="V11" s="67">
        <v>198.0</v>
      </c>
      <c r="W11" s="70">
        <f t="shared" si="3"/>
        <v>0.0001207729469</v>
      </c>
      <c r="X11" s="94">
        <f>IFERROR(__xludf.DUMMYFUNCTION("Bow_Bonuses[Special
Mult] * ((L11 + Q11) * (K11 + IF(REGEXMATCH(C11, B11), If(REGEXMATCH(C11, Bow_Bonuses[[#HEADERS],[Py]]), Bow_Bonuses[Py], 0) + If(REGEXMATCH(C11, Bow_Bonuses[[#HEADERS],[He]]), Bow_Bonuses[He], 0) + If(REGEXMATCH(C11, Bow_Bonuses[[#HEA"&amp;"DERS],[Vo]]), Bow_Bonuses[Vo], 0), 0)) / K11 + SUM(R11:T11))"),365.56)</f>
        <v>365.56</v>
      </c>
      <c r="Y11" s="39">
        <v>365.0</v>
      </c>
      <c r="Z11" s="74">
        <f t="shared" si="4"/>
        <v>0.001534246575</v>
      </c>
    </row>
    <row r="12" ht="22.5" customHeight="1">
      <c r="A12" s="35" t="s">
        <v>98</v>
      </c>
      <c r="B12" s="36" t="s">
        <v>22</v>
      </c>
      <c r="C12" s="76" t="s">
        <v>25</v>
      </c>
      <c r="D12" s="38">
        <v>519.0</v>
      </c>
      <c r="E12" s="39">
        <v>205.0</v>
      </c>
      <c r="F12" s="40">
        <v>61.0</v>
      </c>
      <c r="G12" s="41">
        <v>0.2</v>
      </c>
      <c r="H12" s="41">
        <v>0.0</v>
      </c>
      <c r="I12" s="41">
        <v>0.0</v>
      </c>
      <c r="J12" s="42">
        <v>0.3</v>
      </c>
      <c r="K12" s="45">
        <f>IFERROR(__xludf.DUMMYFUNCTION("1 + J12 + IF(REGEXMATCH(C12, Bow_Bonuses[[#HEADERS],[Pe]]), Bow_Bonuses[Pe]) + IF(REGEXMATCH(C12, Bow_Bonuses[[#HEADERS],[Tr1]]), Bow_Bonuses[Tr1], 0) + IF(REGEXMATCH(C12, Bow_Bonuses[[#HEADERS],[Tr2]]), Bow_Bonuses[Tr2], 0)"),1.3)</f>
        <v>1.3</v>
      </c>
      <c r="L12" s="46">
        <f t="shared" si="1"/>
        <v>79.3</v>
      </c>
      <c r="M12" s="49">
        <f>$K12 *D12 / Bow_Bonuses[Stam/Dmg]</f>
        <v>14.6673913</v>
      </c>
      <c r="N12" s="46">
        <f>IFERROR(__xludf.DUMMYFUNCTION("IF(G12&gt;0, ($L12+$M12) * G12 * ($K12 + IF(AND(REGEXMATCH($C12, $B12), REGEXMATCH($C12,Bow_Bonuses[[#HEADERS],[Py]])), Bow_Bonuses[Py],) ) / $K12, 0)"),18.793478260869566)</f>
        <v>18.79347826</v>
      </c>
      <c r="O12" s="46">
        <f>IFERROR(__xludf.DUMMYFUNCTION("IF(H12&gt;0, ($L12+$M12) * H12 * ($K12 + IF(AND(REGEXMATCH($C12, $B12), REGEXMATCH($C12,Bow_Bonuses[[#HEADERS],[He]])), Bow_Bonuses[He],) ) / $K12, 0)"),0.0)</f>
        <v>0</v>
      </c>
      <c r="P12" s="46">
        <f>IFERROR(__xludf.DUMMYFUNCTION("IF(I12&gt;0, ($L12+$M12) * I12 * ($K12 + IF(AND(REGEXMATCH($C12, $B12), REGEXMATCH($C12,Bow_Bonuses[[#HEADERS],[Vo]])), Bow_Bonuses[Vo],) ) / $K12, 0)"),0.0)</f>
        <v>0</v>
      </c>
      <c r="Q12" s="49">
        <f>$K12 *E12 / Bow_Bonuses[Mag/Dmg]</f>
        <v>4.441666667</v>
      </c>
      <c r="R12" s="46">
        <f>IFERROR(__xludf.DUMMYFUNCTION("IF(G12&gt;0, ($L12+$Q12) * G12 * ($K12 + IF(AND(REGEXMATCH($C12, $B12), REGEXMATCH($C12,Bow_Bonuses[[#HEADERS],[Py]])), Bow_Bonuses[Py],) ) / $K12, 0)"),16.74833333333333)</f>
        <v>16.74833333</v>
      </c>
      <c r="S12" s="46">
        <f>IFERROR(__xludf.DUMMYFUNCTION("IF(H12&gt;0, ($L12+$Q12) * H12 * ($K12 + IF(AND(REGEXMATCH($C12, $B12), REGEXMATCH($C12,Bow_Bonuses[[#HEADERS],[He]])), Bow_Bonuses[He],) ) / $K12, 0)"),0.0)</f>
        <v>0</v>
      </c>
      <c r="T12" s="46">
        <f>IFERROR(__xludf.DUMMYFUNCTION("IF(I12&gt;0, ($L12+$Q12) * I12 * ($K12 + IF(AND(REGEXMATCH($C12, $B12), REGEXMATCH($C12,Bow_Bonuses[[#HEADERS],[Vo]])), Bow_Bonuses[Vo],) ) / $K12, 0)"),0.0)</f>
        <v>0</v>
      </c>
      <c r="U12" s="66">
        <f t="shared" si="2"/>
        <v>112.7608696</v>
      </c>
      <c r="V12" s="98">
        <v>113.0</v>
      </c>
      <c r="W12" s="70">
        <f t="shared" si="3"/>
        <v>0.002116198538</v>
      </c>
      <c r="X12" s="73">
        <f>IFERROR(__xludf.DUMMYFUNCTION("Bow_Bonuses[Special
Mult] * ((L12 + Q12) * (K12 + IF(REGEXMATCH(C12, B12), If(REGEXMATCH(C12, Bow_Bonuses[[#HEADERS],[Py]]), Bow_Bonuses[Py], 0) + If(REGEXMATCH(C12, Bow_Bonuses[[#HEADERS],[He]]), Bow_Bonuses[He], 0) + If(REGEXMATCH(C12, Bow_Bonuses[[#HEA"&amp;"DERS],[Vo]]), Bow_Bonuses[Vo], 0), 0)) / K12 + SUM(R12:T12))"),200.98)</f>
        <v>200.98</v>
      </c>
      <c r="Y12" s="39">
        <v>201.0</v>
      </c>
      <c r="Z12" s="74">
        <f t="shared" si="4"/>
        <v>0.00009950248756</v>
      </c>
    </row>
    <row r="13" ht="22.5" customHeight="1">
      <c r="A13" s="35" t="s">
        <v>98</v>
      </c>
      <c r="B13" s="36" t="s">
        <v>22</v>
      </c>
      <c r="C13" s="76" t="s">
        <v>25</v>
      </c>
      <c r="D13" s="38">
        <v>519.0</v>
      </c>
      <c r="E13" s="39">
        <v>205.0</v>
      </c>
      <c r="F13" s="40">
        <v>61.0</v>
      </c>
      <c r="G13" s="41">
        <v>0.0</v>
      </c>
      <c r="H13" s="41">
        <v>0.0</v>
      </c>
      <c r="I13" s="41">
        <v>0.2</v>
      </c>
      <c r="J13" s="42">
        <v>0.3</v>
      </c>
      <c r="K13" s="45">
        <f>IFERROR(__xludf.DUMMYFUNCTION("1 + J13 + IF(REGEXMATCH(C13, Bow_Bonuses[[#HEADERS],[Pe]]), Bow_Bonuses[Pe]) + IF(REGEXMATCH(C13, Bow_Bonuses[[#HEADERS],[Tr1]]), Bow_Bonuses[Tr1], 0) + IF(REGEXMATCH(C13, Bow_Bonuses[[#HEADERS],[Tr2]]), Bow_Bonuses[Tr2], 0)"),1.3)</f>
        <v>1.3</v>
      </c>
      <c r="L13" s="46">
        <f t="shared" si="1"/>
        <v>79.3</v>
      </c>
      <c r="M13" s="49">
        <f>$K13 *D13 / Bow_Bonuses[Stam/Dmg]</f>
        <v>14.6673913</v>
      </c>
      <c r="N13" s="46">
        <f>IFERROR(__xludf.DUMMYFUNCTION("IF(G13&gt;0, ($L13+$M13) * G13 * ($K13 + IF(AND(REGEXMATCH($C13, $B13), REGEXMATCH($C13,Bow_Bonuses[[#HEADERS],[Py]])), Bow_Bonuses[Py],) ) / $K13, 0)"),0.0)</f>
        <v>0</v>
      </c>
      <c r="O13" s="46">
        <f>IFERROR(__xludf.DUMMYFUNCTION("IF(H13&gt;0, ($L13+$M13) * H13 * ($K13 + IF(AND(REGEXMATCH($C13, $B13), REGEXMATCH($C13,Bow_Bonuses[[#HEADERS],[He]])), Bow_Bonuses[He],) ) / $K13, 0)"),0.0)</f>
        <v>0</v>
      </c>
      <c r="P13" s="46">
        <f>IFERROR(__xludf.DUMMYFUNCTION("IF(I13&gt;0, ($L13+$M13) * I13 * ($K13 + IF(AND(REGEXMATCH($C13, $B13), REGEXMATCH($C13,Bow_Bonuses[[#HEADERS],[Vo]])), Bow_Bonuses[Vo],) ) / $K13, 0)"),18.793478260869566)</f>
        <v>18.79347826</v>
      </c>
      <c r="Q13" s="49">
        <f>$K13 *E13 / Bow_Bonuses[Mag/Dmg]</f>
        <v>4.441666667</v>
      </c>
      <c r="R13" s="46">
        <f>IFERROR(__xludf.DUMMYFUNCTION("IF(G13&gt;0, ($L13+$Q13) * G13 * ($K13 + IF(AND(REGEXMATCH($C13, $B13), REGEXMATCH($C13,Bow_Bonuses[[#HEADERS],[Py]])), Bow_Bonuses[Py],) ) / $K13, 0)"),0.0)</f>
        <v>0</v>
      </c>
      <c r="S13" s="46">
        <f>IFERROR(__xludf.DUMMYFUNCTION("IF(H13&gt;0, ($L13+$Q13) * H13 * ($K13 + IF(AND(REGEXMATCH($C13, $B13), REGEXMATCH($C13,Bow_Bonuses[[#HEADERS],[He]])), Bow_Bonuses[He],) ) / $K13, 0)"),0.0)</f>
        <v>0</v>
      </c>
      <c r="T13" s="46">
        <f>IFERROR(__xludf.DUMMYFUNCTION("IF(I13&gt;0, ($L13+$Q13) * I13 * ($K13 + IF(AND(REGEXMATCH($C13, $B13), REGEXMATCH($C13,Bow_Bonuses[[#HEADERS],[Vo]])), Bow_Bonuses[Vo],) ) / $K13, 0)"),16.74833333333333)</f>
        <v>16.74833333</v>
      </c>
      <c r="U13" s="66">
        <f t="shared" si="2"/>
        <v>112.7608696</v>
      </c>
      <c r="V13" s="98">
        <v>113.0</v>
      </c>
      <c r="W13" s="70">
        <f t="shared" si="3"/>
        <v>0.002116198538</v>
      </c>
      <c r="X13" s="73">
        <f>IFERROR(__xludf.DUMMYFUNCTION("Bow_Bonuses[Special
Mult] * ((L13 + Q13) * (K13 + IF(REGEXMATCH(C13, B13), If(REGEXMATCH(C13, Bow_Bonuses[[#HEADERS],[Py]]), Bow_Bonuses[Py], 0) + If(REGEXMATCH(C13, Bow_Bonuses[[#HEADERS],[He]]), Bow_Bonuses[He], 0) + If(REGEXMATCH(C13, Bow_Bonuses[[#HEA"&amp;"DERS],[Vo]]), Bow_Bonuses[Vo], 0), 0)) / K13 + SUM(R13:T13))"),200.98)</f>
        <v>200.98</v>
      </c>
      <c r="Y13" s="39">
        <v>202.0</v>
      </c>
      <c r="Z13" s="74">
        <f t="shared" si="4"/>
        <v>0.00504950495</v>
      </c>
    </row>
    <row r="14" ht="22.5" customHeight="1">
      <c r="A14" s="35" t="s">
        <v>75</v>
      </c>
      <c r="B14" s="36" t="s">
        <v>22</v>
      </c>
      <c r="C14" s="37" t="s">
        <v>22</v>
      </c>
      <c r="D14" s="38">
        <v>375.0</v>
      </c>
      <c r="E14" s="39">
        <v>205.0</v>
      </c>
      <c r="F14" s="40">
        <v>113.0</v>
      </c>
      <c r="G14" s="41">
        <v>0.08</v>
      </c>
      <c r="H14" s="41">
        <v>0.08</v>
      </c>
      <c r="I14" s="41">
        <v>0.08</v>
      </c>
      <c r="J14" s="42">
        <v>0.0</v>
      </c>
      <c r="K14" s="45">
        <f>IFERROR(__xludf.DUMMYFUNCTION("1 + J14 + IF(REGEXMATCH(C14, Bow_Bonuses[[#HEADERS],[Pe]]), Bow_Bonuses[Pe]) + IF(REGEXMATCH(C14, Bow_Bonuses[[#HEADERS],[Tr1]]), Bow_Bonuses[Tr1], 0) + IF(REGEXMATCH(C14, Bow_Bonuses[[#HEADERS],[Tr2]]), Bow_Bonuses[Tr2], 0)"),1.0)</f>
        <v>1</v>
      </c>
      <c r="L14" s="46">
        <f t="shared" si="1"/>
        <v>113</v>
      </c>
      <c r="M14" s="49">
        <f>$K14 *D14 / Bow_Bonuses[Stam/Dmg]</f>
        <v>8.152173913</v>
      </c>
      <c r="N14" s="46">
        <f>IFERROR(__xludf.DUMMYFUNCTION("IF(G14&gt;0, ($L14+$M14) * G14 * ($K14 + IF(AND(REGEXMATCH($C14, $B14), REGEXMATCH($C14,Bow_Bonuses[[#HEADERS],[Py]])), Bow_Bonuses[Py],) ) / $K14, 0)"),11.630608695652175)</f>
        <v>11.6306087</v>
      </c>
      <c r="O14" s="46">
        <f>IFERROR(__xludf.DUMMYFUNCTION("IF(H14&gt;0, ($L14+$M14) * H14 * ($K14 + IF(AND(REGEXMATCH($C14, $B14), REGEXMATCH($C14,Bow_Bonuses[[#HEADERS],[He]])), Bow_Bonuses[He],) ) / $K14, 0)"),9.69217391304348)</f>
        <v>9.692173913</v>
      </c>
      <c r="P14" s="46">
        <f>IFERROR(__xludf.DUMMYFUNCTION("IF(I14&gt;0, ($L14+$M14) * I14 * ($K14 + IF(AND(REGEXMATCH($C14, $B14), REGEXMATCH($C14,Bow_Bonuses[[#HEADERS],[Vo]])), Bow_Bonuses[Vo],) ) / $K14, 0)"),9.69217391304348)</f>
        <v>9.692173913</v>
      </c>
      <c r="Q14" s="49">
        <f>$K14 *E14 / Bow_Bonuses[Mag/Dmg]</f>
        <v>3.416666667</v>
      </c>
      <c r="R14" s="46">
        <f>IFERROR(__xludf.DUMMYFUNCTION("IF(G14&gt;0, ($L14+$Q14) * G14 * ($K14 + IF(AND(REGEXMATCH($C14, $B14), REGEXMATCH($C14,Bow_Bonuses[[#HEADERS],[Py]])), Bow_Bonuses[Py],) ) / $K14, 0)"),11.176)</f>
        <v>11.176</v>
      </c>
      <c r="S14" s="46">
        <f>IFERROR(__xludf.DUMMYFUNCTION("IF(H14&gt;0, ($L14+$Q14) * H14 * ($K14 + IF(AND(REGEXMATCH($C14, $B14), REGEXMATCH($C14,Bow_Bonuses[[#HEADERS],[He]])), Bow_Bonuses[He],) ) / $K14, 0)"),9.313333333333334)</f>
        <v>9.313333333</v>
      </c>
      <c r="T14" s="46">
        <f>IFERROR(__xludf.DUMMYFUNCTION("IF(I14&gt;0, ($L14+$Q14) * I14 * ($K14 + IF(AND(REGEXMATCH($C14, $B14), REGEXMATCH($C14,Bow_Bonuses[[#HEADERS],[Vo]])), Bow_Bonuses[Vo],) ) / $K14, 0)"),9.313333333333334)</f>
        <v>9.313333333</v>
      </c>
      <c r="U14" s="66">
        <f t="shared" si="2"/>
        <v>152.1671304</v>
      </c>
      <c r="V14" s="86">
        <v>152.0</v>
      </c>
      <c r="W14" s="70">
        <f t="shared" si="3"/>
        <v>0.001099542334</v>
      </c>
      <c r="X14" s="73">
        <f>IFERROR(__xludf.DUMMYFUNCTION("Bow_Bonuses[Special
Mult] * ((L14 + Q14) * (K14 + IF(REGEXMATCH(C14, B14), If(REGEXMATCH(C14, Bow_Bonuses[[#HEADERS],[Py]]), Bow_Bonuses[Py], 0) + If(REGEXMATCH(C14, Bow_Bonuses[[#HEADERS],[He]]), Bow_Bonuses[He], 0) + If(REGEXMATCH(C14, Bow_Bonuses[[#HEA"&amp;"DERS],[Vo]]), Bow_Bonuses[Vo], 0), 0)) / K14 + SUM(R14:T14))"),339.0053333333333)</f>
        <v>339.0053333</v>
      </c>
      <c r="Y14" s="39">
        <v>339.0</v>
      </c>
      <c r="Z14" s="74">
        <f t="shared" si="4"/>
        <v>0.00001573254671</v>
      </c>
    </row>
    <row r="15" ht="22.5" customHeight="1">
      <c r="A15" s="35" t="s">
        <v>75</v>
      </c>
      <c r="B15" s="36" t="s">
        <v>22</v>
      </c>
      <c r="C15" s="37" t="s">
        <v>22</v>
      </c>
      <c r="D15" s="38">
        <v>642.0</v>
      </c>
      <c r="E15" s="39">
        <v>205.0</v>
      </c>
      <c r="F15" s="40">
        <v>113.0</v>
      </c>
      <c r="G15" s="41">
        <v>0.08</v>
      </c>
      <c r="H15" s="41">
        <v>0.08</v>
      </c>
      <c r="I15" s="41">
        <v>0.08</v>
      </c>
      <c r="J15" s="42">
        <v>0.3</v>
      </c>
      <c r="K15" s="45">
        <f>IFERROR(__xludf.DUMMYFUNCTION("1 + J15 + IF(REGEXMATCH(C15, Bow_Bonuses[[#HEADERS],[Pe]]), Bow_Bonuses[Pe]) + IF(REGEXMATCH(C15, Bow_Bonuses[[#HEADERS],[Tr1]]), Bow_Bonuses[Tr1], 0) + IF(REGEXMATCH(C15, Bow_Bonuses[[#HEADERS],[Tr2]]), Bow_Bonuses[Tr2], 0)"),1.3)</f>
        <v>1.3</v>
      </c>
      <c r="L15" s="46">
        <f t="shared" si="1"/>
        <v>146.9</v>
      </c>
      <c r="M15" s="49">
        <f>$K15 *D15 / Bow_Bonuses[Stam/Dmg]</f>
        <v>18.14347826</v>
      </c>
      <c r="N15" s="46">
        <f>IFERROR(__xludf.DUMMYFUNCTION("IF(G15&gt;0, ($L15+$M15) * G15 * ($K15 + IF(AND(REGEXMATCH($C15, $B15), REGEXMATCH($C15,Bow_Bonuses[[#HEADERS],[Py]])), Bow_Bonuses[Py],) ) / $K15, 0)"),15.23478260869565)</f>
        <v>15.23478261</v>
      </c>
      <c r="O15" s="46">
        <f>IFERROR(__xludf.DUMMYFUNCTION("IF(H15&gt;0, ($L15+$M15) * H15 * ($K15 + IF(AND(REGEXMATCH($C15, $B15), REGEXMATCH($C15,Bow_Bonuses[[#HEADERS],[He]])), Bow_Bonuses[He],) ) / $K15, 0)"),13.203478260869565)</f>
        <v>13.20347826</v>
      </c>
      <c r="P15" s="46">
        <f>IFERROR(__xludf.DUMMYFUNCTION("IF(I15&gt;0, ($L15+$M15) * I15 * ($K15 + IF(AND(REGEXMATCH($C15, $B15), REGEXMATCH($C15,Bow_Bonuses[[#HEADERS],[Vo]])), Bow_Bonuses[Vo],) ) / $K15, 0)"),13.203478260869565)</f>
        <v>13.20347826</v>
      </c>
      <c r="Q15" s="49">
        <f>$K15 *E15 / Bow_Bonuses[Mag/Dmg]</f>
        <v>4.441666667</v>
      </c>
      <c r="R15" s="46">
        <f>IFERROR(__xludf.DUMMYFUNCTION("IF(G15&gt;0, ($L15+$Q15) * G15 * ($K15 + IF(AND(REGEXMATCH($C15, $B15), REGEXMATCH($C15,Bow_Bonuses[[#HEADERS],[Py]])), Bow_Bonuses[Py],) ) / $K15, 0)"),13.97)</f>
        <v>13.97</v>
      </c>
      <c r="S15" s="46">
        <f>IFERROR(__xludf.DUMMYFUNCTION("IF(H15&gt;0, ($L15+$Q15) * H15 * ($K15 + IF(AND(REGEXMATCH($C15, $B15), REGEXMATCH($C15,Bow_Bonuses[[#HEADERS],[He]])), Bow_Bonuses[He],) ) / $K15, 0)"),12.107333333333333)</f>
        <v>12.10733333</v>
      </c>
      <c r="T15" s="46">
        <f>IFERROR(__xludf.DUMMYFUNCTION("IF(I15&gt;0, ($L15+$Q15) * I15 * ($K15 + IF(AND(REGEXMATCH($C15, $B15), REGEXMATCH($C15,Bow_Bonuses[[#HEADERS],[Vo]])), Bow_Bonuses[Vo],) ) / $K15, 0)"),12.107333333333333)</f>
        <v>12.10733333</v>
      </c>
      <c r="U15" s="66">
        <f t="shared" si="2"/>
        <v>206.6852174</v>
      </c>
      <c r="V15" s="67">
        <v>206.0</v>
      </c>
      <c r="W15" s="70">
        <f t="shared" si="3"/>
        <v>0.003326298016</v>
      </c>
      <c r="X15" s="73">
        <f>IFERROR(__xludf.DUMMYFUNCTION("Bow_Bonuses[Special
Mult] * ((L15 + Q15) * (K15 + IF(REGEXMATCH(C15, B15), If(REGEXMATCH(C15, Bow_Bonuses[[#HEADERS],[Py]]), Bow_Bonuses[Py], 0) + If(REGEXMATCH(C15, Bow_Bonuses[[#HEADERS],[He]]), Bow_Bonuses[He], 0) + If(REGEXMATCH(C15, Bow_Bonuses[[#HEA"&amp;"DERS],[Vo]]), Bow_Bonuses[Vo], 0), 0)) / K15 + SUM(R15:T15))"),425.6193333333333)</f>
        <v>425.6193333</v>
      </c>
      <c r="Y15" s="39">
        <v>427.0</v>
      </c>
      <c r="Z15" s="74">
        <f t="shared" si="4"/>
        <v>0.003233411397</v>
      </c>
    </row>
    <row r="16" ht="22.5" customHeight="1">
      <c r="A16" s="35" t="s">
        <v>75</v>
      </c>
      <c r="B16" s="36" t="s">
        <v>22</v>
      </c>
      <c r="C16" s="37" t="s">
        <v>22</v>
      </c>
      <c r="D16" s="38">
        <v>375.0</v>
      </c>
      <c r="E16" s="39">
        <v>629.0</v>
      </c>
      <c r="F16" s="40">
        <v>113.0</v>
      </c>
      <c r="G16" s="41">
        <v>0.08</v>
      </c>
      <c r="H16" s="41">
        <v>0.08</v>
      </c>
      <c r="I16" s="41">
        <v>0.08</v>
      </c>
      <c r="J16" s="42">
        <v>0.0</v>
      </c>
      <c r="K16" s="45">
        <f>IFERROR(__xludf.DUMMYFUNCTION("1 + J16 + IF(REGEXMATCH(C16, Bow_Bonuses[[#HEADERS],[Pe]]), Bow_Bonuses[Pe]) + IF(REGEXMATCH(C16, Bow_Bonuses[[#HEADERS],[Tr1]]), Bow_Bonuses[Tr1], 0) + IF(REGEXMATCH(C16, Bow_Bonuses[[#HEADERS],[Tr2]]), Bow_Bonuses[Tr2], 0)"),1.0)</f>
        <v>1</v>
      </c>
      <c r="L16" s="46">
        <f t="shared" si="1"/>
        <v>113</v>
      </c>
      <c r="M16" s="49">
        <f>$K16 *D16 / Bow_Bonuses[Stam/Dmg]</f>
        <v>8.152173913</v>
      </c>
      <c r="N16" s="46">
        <f>IFERROR(__xludf.DUMMYFUNCTION("IF(G16&gt;0, ($L16+$M16) * G16 * ($K16 + IF(AND(REGEXMATCH($C16, $B16), REGEXMATCH($C16,Bow_Bonuses[[#HEADERS],[Py]])), Bow_Bonuses[Py],) ) / $K16, 0)"),11.630608695652175)</f>
        <v>11.6306087</v>
      </c>
      <c r="O16" s="46">
        <f>IFERROR(__xludf.DUMMYFUNCTION("IF(H16&gt;0, ($L16+$M16) * H16 * ($K16 + IF(AND(REGEXMATCH($C16, $B16), REGEXMATCH($C16,Bow_Bonuses[[#HEADERS],[He]])), Bow_Bonuses[He],) ) / $K16, 0)"),9.69217391304348)</f>
        <v>9.692173913</v>
      </c>
      <c r="P16" s="46">
        <f>IFERROR(__xludf.DUMMYFUNCTION("IF(I16&gt;0, ($L16+$M16) * I16 * ($K16 + IF(AND(REGEXMATCH($C16, $B16), REGEXMATCH($C16,Bow_Bonuses[[#HEADERS],[Vo]])), Bow_Bonuses[Vo],) ) / $K16, 0)"),9.69217391304348)</f>
        <v>9.692173913</v>
      </c>
      <c r="Q16" s="49">
        <f>$K16 *E16 / Bow_Bonuses[Mag/Dmg]</f>
        <v>10.48333333</v>
      </c>
      <c r="R16" s="46">
        <f>IFERROR(__xludf.DUMMYFUNCTION("IF(G16&gt;0, ($L16+$Q16) * G16 * ($K16 + IF(AND(REGEXMATCH($C16, $B16), REGEXMATCH($C16,Bow_Bonuses[[#HEADERS],[Py]])), Bow_Bonuses[Py],) ) / $K16, 0)"),11.8544)</f>
        <v>11.8544</v>
      </c>
      <c r="S16" s="46">
        <f>IFERROR(__xludf.DUMMYFUNCTION("IF(H16&gt;0, ($L16+$Q16) * H16 * ($K16 + IF(AND(REGEXMATCH($C16, $B16), REGEXMATCH($C16,Bow_Bonuses[[#HEADERS],[He]])), Bow_Bonuses[He],) ) / $K16, 0)"),9.878666666666668)</f>
        <v>9.878666667</v>
      </c>
      <c r="T16" s="46">
        <f>IFERROR(__xludf.DUMMYFUNCTION("IF(I16&gt;0, ($L16+$Q16) * I16 * ($K16 + IF(AND(REGEXMATCH($C16, $B16), REGEXMATCH($C16,Bow_Bonuses[[#HEADERS],[Vo]])), Bow_Bonuses[Vo],) ) / $K16, 0)"),9.878666666666668)</f>
        <v>9.878666667</v>
      </c>
      <c r="U16" s="66">
        <f t="shared" si="2"/>
        <v>152.1671304</v>
      </c>
      <c r="V16" s="86">
        <v>152.0</v>
      </c>
      <c r="W16" s="70">
        <f t="shared" si="3"/>
        <v>0.001099542334</v>
      </c>
      <c r="X16" s="73">
        <f>IFERROR(__xludf.DUMMYFUNCTION("Bow_Bonuses[Special
Mult] * ((L16 + Q16) * (K16 + IF(REGEXMATCH(C16, B16), If(REGEXMATCH(C16, Bow_Bonuses[[#HEADERS],[Py]]), Bow_Bonuses[Py], 0) + If(REGEXMATCH(C16, Bow_Bonuses[[#HEADERS],[He]]), Bow_Bonuses[He], 0) + If(REGEXMATCH(C16, Bow_Bonuses[[#HEA"&amp;"DERS],[Vo]]), Bow_Bonuses[Vo], 0), 0)) / K16 + SUM(R16:T16))"),359.5834666666667)</f>
        <v>359.5834667</v>
      </c>
      <c r="Y16" s="39">
        <v>358.0</v>
      </c>
      <c r="Z16" s="74">
        <f t="shared" si="4"/>
        <v>0.004423091248</v>
      </c>
    </row>
    <row r="17" ht="22.5" customHeight="1">
      <c r="A17" s="35" t="s">
        <v>94</v>
      </c>
      <c r="B17" s="36" t="s">
        <v>22</v>
      </c>
      <c r="C17" s="37" t="s">
        <v>22</v>
      </c>
      <c r="D17" s="38">
        <v>434.0</v>
      </c>
      <c r="E17" s="39">
        <v>629.0</v>
      </c>
      <c r="F17" s="40">
        <v>137.0</v>
      </c>
      <c r="G17" s="41">
        <v>0.0</v>
      </c>
      <c r="H17" s="41">
        <v>0.0</v>
      </c>
      <c r="I17" s="41">
        <v>0.0</v>
      </c>
      <c r="J17" s="78">
        <v>0.0</v>
      </c>
      <c r="K17" s="45">
        <f>IFERROR(__xludf.DUMMYFUNCTION("1 + J17 + IF(REGEXMATCH(C17, Bow_Bonuses[[#HEADERS],[Pe]]), Bow_Bonuses[Pe]) + IF(REGEXMATCH(C17, Bow_Bonuses[[#HEADERS],[Tr1]]), Bow_Bonuses[Tr1], 0) + IF(REGEXMATCH(C17, Bow_Bonuses[[#HEADERS],[Tr2]]), Bow_Bonuses[Tr2], 0)"),1.0)</f>
        <v>1</v>
      </c>
      <c r="L17" s="46">
        <f t="shared" si="1"/>
        <v>137</v>
      </c>
      <c r="M17" s="49">
        <f>$K17 *D17 / Bow_Bonuses[Stam/Dmg]</f>
        <v>9.434782609</v>
      </c>
      <c r="N17" s="46">
        <f>IFERROR(__xludf.DUMMYFUNCTION("IF(G17&gt;0, ($L17+$M17) * G17 * ($K17 + IF(AND(REGEXMATCH($C17, $B17), REGEXMATCH($C17,Bow_Bonuses[[#HEADERS],[Py]])), Bow_Bonuses[Py],) ) / $K17, 0)"),0.0)</f>
        <v>0</v>
      </c>
      <c r="O17" s="46">
        <f>IFERROR(__xludf.DUMMYFUNCTION("IF(H17&gt;0, ($L17+$M17) * H17 * ($K17 + IF(AND(REGEXMATCH($C17, $B17), REGEXMATCH($C17,Bow_Bonuses[[#HEADERS],[He]])), Bow_Bonuses[He],) ) / $K17, 0)"),0.0)</f>
        <v>0</v>
      </c>
      <c r="P17" s="46">
        <f>IFERROR(__xludf.DUMMYFUNCTION("IF(I17&gt;0, ($L17+$M17) * I17 * ($K17 + IF(AND(REGEXMATCH($C17, $B17), REGEXMATCH($C17,Bow_Bonuses[[#HEADERS],[Vo]])), Bow_Bonuses[Vo],) ) / $K17, 0)"),0.0)</f>
        <v>0</v>
      </c>
      <c r="Q17" s="49">
        <f>$K17 *E17 / Bow_Bonuses[Mag/Dmg]</f>
        <v>10.48333333</v>
      </c>
      <c r="R17" s="46">
        <f>IFERROR(__xludf.DUMMYFUNCTION("IF(G17&gt;0, ($L17+$Q17) * G17 * ($K17 + IF(AND(REGEXMATCH($C17, $B17), REGEXMATCH($C17,Bow_Bonuses[[#HEADERS],[Py]])), Bow_Bonuses[Py],) ) / $K17, 0)"),0.0)</f>
        <v>0</v>
      </c>
      <c r="S17" s="46">
        <f>IFERROR(__xludf.DUMMYFUNCTION("IF(H17&gt;0, ($L17+$Q17) * H17 * ($K17 + IF(AND(REGEXMATCH($C17, $B17), REGEXMATCH($C17,Bow_Bonuses[[#HEADERS],[He]])), Bow_Bonuses[He],) ) / $K17, 0)"),0.0)</f>
        <v>0</v>
      </c>
      <c r="T17" s="46">
        <f>IFERROR(__xludf.DUMMYFUNCTION("IF(I17&gt;0, ($L17+$Q17) * I17 * ($K17 + IF(AND(REGEXMATCH($C17, $B17), REGEXMATCH($C17,Bow_Bonuses[[#HEADERS],[Vo]])), Bow_Bonuses[Vo],) ) / $K17, 0)"),0.0)</f>
        <v>0</v>
      </c>
      <c r="U17" s="66">
        <f t="shared" si="2"/>
        <v>146.4347826</v>
      </c>
      <c r="V17" s="67">
        <v>147.0</v>
      </c>
      <c r="W17" s="70">
        <f t="shared" si="3"/>
        <v>0.003845016267</v>
      </c>
      <c r="X17" s="73">
        <f>IFERROR(__xludf.DUMMYFUNCTION("Bow_Bonuses[Special
Mult] * ((L17 + Q17) * (K17 + IF(REGEXMATCH(C17, B17), If(REGEXMATCH(C17, Bow_Bonuses[[#HEADERS],[Py]]), Bow_Bonuses[Py], 0) + If(REGEXMATCH(C17, Bow_Bonuses[[#HEADERS],[He]]), Bow_Bonuses[He], 0) + If(REGEXMATCH(C17, Bow_Bonuses[[#HEA"&amp;"DERS],[Vo]]), Bow_Bonuses[Vo], 0), 0)) / K17 + SUM(R17:T17))"),353.96)</f>
        <v>353.96</v>
      </c>
      <c r="Y17" s="39">
        <v>352.0</v>
      </c>
      <c r="Z17" s="74">
        <f t="shared" si="4"/>
        <v>0.005568181818</v>
      </c>
    </row>
    <row r="18" ht="22.5" customHeight="1">
      <c r="A18" s="35" t="s">
        <v>94</v>
      </c>
      <c r="B18" s="36" t="s">
        <v>22</v>
      </c>
      <c r="C18" s="37" t="s">
        <v>22</v>
      </c>
      <c r="D18" s="77">
        <v>701.0</v>
      </c>
      <c r="E18" s="39">
        <v>205.0</v>
      </c>
      <c r="F18" s="111">
        <v>137.0</v>
      </c>
      <c r="G18" s="112">
        <v>0.0</v>
      </c>
      <c r="H18" s="112">
        <v>0.0</v>
      </c>
      <c r="I18" s="112">
        <v>0.0</v>
      </c>
      <c r="J18" s="42">
        <v>0.3</v>
      </c>
      <c r="K18" s="45">
        <f>IFERROR(__xludf.DUMMYFUNCTION("1 + J18 + IF(REGEXMATCH(C18, Bow_Bonuses[[#HEADERS],[Pe]]), Bow_Bonuses[Pe]) + IF(REGEXMATCH(C18, Bow_Bonuses[[#HEADERS],[Tr1]]), Bow_Bonuses[Tr1], 0) + IF(REGEXMATCH(C18, Bow_Bonuses[[#HEADERS],[Tr2]]), Bow_Bonuses[Tr2], 0)"),1.3)</f>
        <v>1.3</v>
      </c>
      <c r="L18" s="46">
        <f t="shared" si="1"/>
        <v>178.1</v>
      </c>
      <c r="M18" s="49">
        <f>$K18 *D18 / Bow_Bonuses[Stam/Dmg]</f>
        <v>19.81086957</v>
      </c>
      <c r="N18" s="46">
        <f>IFERROR(__xludf.DUMMYFUNCTION("IF(G18&gt;0, ($L18+$M18) * G18 * ($K18 + IF(AND(REGEXMATCH($C18, $B18), REGEXMATCH($C18,Bow_Bonuses[[#HEADERS],[Py]])), Bow_Bonuses[Py],) ) / $K18, 0)"),0.0)</f>
        <v>0</v>
      </c>
      <c r="O18" s="46">
        <f>IFERROR(__xludf.DUMMYFUNCTION("IF(H18&gt;0, ($L18+$M18) * H18 * ($K18 + IF(AND(REGEXMATCH($C18, $B18), REGEXMATCH($C18,Bow_Bonuses[[#HEADERS],[He]])), Bow_Bonuses[He],) ) / $K18, 0)"),0.0)</f>
        <v>0</v>
      </c>
      <c r="P18" s="46">
        <f>IFERROR(__xludf.DUMMYFUNCTION("IF(I18&gt;0, ($L18+$M18) * I18 * ($K18 + IF(AND(REGEXMATCH($C18, $B18), REGEXMATCH($C18,Bow_Bonuses[[#HEADERS],[Vo]])), Bow_Bonuses[Vo],) ) / $K18, 0)"),0.0)</f>
        <v>0</v>
      </c>
      <c r="Q18" s="49">
        <f>$K18 *E18 / Bow_Bonuses[Mag/Dmg]</f>
        <v>4.441666667</v>
      </c>
      <c r="R18" s="46">
        <f>IFERROR(__xludf.DUMMYFUNCTION("IF(G18&gt;0, ($L18+$Q18) * G18 * ($K18 + IF(AND(REGEXMATCH($C18, $B18), REGEXMATCH($C18,Bow_Bonuses[[#HEADERS],[Py]])), Bow_Bonuses[Py],) ) / $K18, 0)"),0.0)</f>
        <v>0</v>
      </c>
      <c r="S18" s="46">
        <f>IFERROR(__xludf.DUMMYFUNCTION("IF(H18&gt;0, ($L18+$Q18) * H18 * ($K18 + IF(AND(REGEXMATCH($C18, $B18), REGEXMATCH($C18,Bow_Bonuses[[#HEADERS],[He]])), Bow_Bonuses[He],) ) / $K18, 0)"),0.0)</f>
        <v>0</v>
      </c>
      <c r="T18" s="46">
        <f>IFERROR(__xludf.DUMMYFUNCTION("IF(I18&gt;0, ($L18+$Q18) * I18 * ($K18 + IF(AND(REGEXMATCH($C18, $B18), REGEXMATCH($C18,Bow_Bonuses[[#HEADERS],[Vo]])), Bow_Bonuses[Vo],) ) / $K18, 0)"),0.0)</f>
        <v>0</v>
      </c>
      <c r="U18" s="66">
        <f t="shared" si="2"/>
        <v>197.9108696</v>
      </c>
      <c r="V18" s="86">
        <v>198.0</v>
      </c>
      <c r="W18" s="70">
        <f t="shared" si="3"/>
        <v>0.000450153711</v>
      </c>
      <c r="X18" s="73">
        <f>IFERROR(__xludf.DUMMYFUNCTION("Bow_Bonuses[Special
Mult] * ((L18 + Q18) * (K18 + IF(REGEXMATCH(C18, B18), If(REGEXMATCH(C18, Bow_Bonuses[[#HEADERS],[Py]]), Bow_Bonuses[Py], 0) + If(REGEXMATCH(C18, Bow_Bonuses[[#HEADERS],[He]]), Bow_Bonuses[He], 0) + If(REGEXMATCH(C18, Bow_Bonuses[[#HEA"&amp;"DERS],[Vo]]), Bow_Bonuses[Vo], 0), 0)) / K18 + SUM(R18:T18))"),421.25)</f>
        <v>421.25</v>
      </c>
      <c r="Y18" s="39">
        <v>421.0</v>
      </c>
      <c r="Z18" s="74">
        <f t="shared" si="4"/>
        <v>0.000593824228</v>
      </c>
    </row>
    <row r="19" ht="22.5" customHeight="1">
      <c r="A19" s="35" t="s">
        <v>98</v>
      </c>
      <c r="B19" s="36" t="s">
        <v>22</v>
      </c>
      <c r="C19" s="37" t="s">
        <v>22</v>
      </c>
      <c r="D19" s="38">
        <v>515.0</v>
      </c>
      <c r="E19" s="39">
        <v>205.0</v>
      </c>
      <c r="F19" s="40">
        <v>61.0</v>
      </c>
      <c r="G19" s="41">
        <v>0.2</v>
      </c>
      <c r="H19" s="41">
        <v>0.0</v>
      </c>
      <c r="I19" s="41">
        <v>0.0</v>
      </c>
      <c r="J19" s="42">
        <v>0.3</v>
      </c>
      <c r="K19" s="45">
        <f>IFERROR(__xludf.DUMMYFUNCTION("1 + J19 + IF(REGEXMATCH(C19, Bow_Bonuses[[#HEADERS],[Pe]]), Bow_Bonuses[Pe]) + IF(REGEXMATCH(C19, Bow_Bonuses[[#HEADERS],[Tr1]]), Bow_Bonuses[Tr1], 0) + IF(REGEXMATCH(C19, Bow_Bonuses[[#HEADERS],[Tr2]]), Bow_Bonuses[Tr2], 0)"),1.3)</f>
        <v>1.3</v>
      </c>
      <c r="L19" s="46">
        <f t="shared" si="1"/>
        <v>79.3</v>
      </c>
      <c r="M19" s="49">
        <f>$K19 *D19 / Bow_Bonuses[Stam/Dmg]</f>
        <v>14.55434783</v>
      </c>
      <c r="N19" s="46">
        <f>IFERROR(__xludf.DUMMYFUNCTION("IF(G19&gt;0, ($L19+$M19) * G19 * ($K19 + IF(AND(REGEXMATCH($C19, $B19), REGEXMATCH($C19,Bow_Bonuses[[#HEADERS],[Py]])), Bow_Bonuses[Py],) ) / $K19, 0)"),21.65869565217391)</f>
        <v>21.65869565</v>
      </c>
      <c r="O19" s="46">
        <f>IFERROR(__xludf.DUMMYFUNCTION("IF(H19&gt;0, ($L19+$M19) * H19 * ($K19 + IF(AND(REGEXMATCH($C19, $B19), REGEXMATCH($C19,Bow_Bonuses[[#HEADERS],[He]])), Bow_Bonuses[He],) ) / $K19, 0)"),0.0)</f>
        <v>0</v>
      </c>
      <c r="P19" s="46">
        <f>IFERROR(__xludf.DUMMYFUNCTION("IF(I19&gt;0, ($L19+$M19) * I19 * ($K19 + IF(AND(REGEXMATCH($C19, $B19), REGEXMATCH($C19,Bow_Bonuses[[#HEADERS],[Vo]])), Bow_Bonuses[Vo],) ) / $K19, 0)"),0.0)</f>
        <v>0</v>
      </c>
      <c r="Q19" s="49">
        <f>$K19 *E19 / Bow_Bonuses[Mag/Dmg]</f>
        <v>4.441666667</v>
      </c>
      <c r="R19" s="46">
        <f>IFERROR(__xludf.DUMMYFUNCTION("IF(G19&gt;0, ($L19+$Q19) * G19 * ($K19 + IF(AND(REGEXMATCH($C19, $B19), REGEXMATCH($C19,Bow_Bonuses[[#HEADERS],[Py]])), Bow_Bonuses[Py],) ) / $K19, 0)"),19.324999999999996)</f>
        <v>19.325</v>
      </c>
      <c r="S19" s="46">
        <f>IFERROR(__xludf.DUMMYFUNCTION("IF(H19&gt;0, ($L19+$Q19) * H19 * ($K19 + IF(AND(REGEXMATCH($C19, $B19), REGEXMATCH($C19,Bow_Bonuses[[#HEADERS],[He]])), Bow_Bonuses[He],) ) / $K19, 0)"),0.0)</f>
        <v>0</v>
      </c>
      <c r="T19" s="46">
        <f>IFERROR(__xludf.DUMMYFUNCTION("IF(I19&gt;0, ($L19+$Q19) * I19 * ($K19 + IF(AND(REGEXMATCH($C19, $B19), REGEXMATCH($C19,Bow_Bonuses[[#HEADERS],[Vo]])), Bow_Bonuses[Vo],) ) / $K19, 0)"),0.0)</f>
        <v>0</v>
      </c>
      <c r="U19" s="66">
        <f t="shared" si="2"/>
        <v>115.5130435</v>
      </c>
      <c r="V19" s="39">
        <v>115.0</v>
      </c>
      <c r="W19" s="70">
        <f t="shared" si="3"/>
        <v>0.004461247637</v>
      </c>
      <c r="X19" s="73">
        <f>IFERROR(__xludf.DUMMYFUNCTION("Bow_Bonuses[Special
Mult] * ((L19 + Q19) * (K19 + IF(REGEXMATCH(C19, B19), If(REGEXMATCH(C19, Bow_Bonuses[[#HEADERS],[Py]]), Bow_Bonuses[Py], 0) + If(REGEXMATCH(C19, Bow_Bonuses[[#HEADERS],[He]]), Bow_Bonuses[He], 0) + If(REGEXMATCH(C19, Bow_Bonuses[[#HEA"&amp;"DERS],[Vo]]), Bow_Bonuses[Vo], 0), 0)) / K19 + SUM(R19:T19))"),231.89999999999998)</f>
        <v>231.9</v>
      </c>
      <c r="Y19" s="39">
        <v>231.0</v>
      </c>
      <c r="Z19" s="74">
        <f t="shared" si="4"/>
        <v>0.003896103896</v>
      </c>
    </row>
    <row r="20" ht="22.5" customHeight="1">
      <c r="A20" s="124" t="s">
        <v>98</v>
      </c>
      <c r="B20" s="125" t="s">
        <v>22</v>
      </c>
      <c r="C20" s="126" t="s">
        <v>22</v>
      </c>
      <c r="D20" s="127">
        <v>515.0</v>
      </c>
      <c r="E20" s="128">
        <v>205.0</v>
      </c>
      <c r="F20" s="129">
        <v>61.0</v>
      </c>
      <c r="G20" s="130">
        <v>0.0</v>
      </c>
      <c r="H20" s="130">
        <v>0.0</v>
      </c>
      <c r="I20" s="130">
        <v>0.2</v>
      </c>
      <c r="J20" s="131">
        <v>0.3</v>
      </c>
      <c r="K20" s="132">
        <f>IFERROR(__xludf.DUMMYFUNCTION("1 + J20 + IF(REGEXMATCH(C20, Bow_Bonuses[[#HEADERS],[Pe]]), Bow_Bonuses[Pe]) + IF(REGEXMATCH(C20, Bow_Bonuses[[#HEADERS],[Tr1]]), Bow_Bonuses[Tr1], 0) + IF(REGEXMATCH(C20, Bow_Bonuses[[#HEADERS],[Tr2]]), Bow_Bonuses[Tr2], 0)"),1.3)</f>
        <v>1.3</v>
      </c>
      <c r="L20" s="133">
        <f t="shared" si="1"/>
        <v>79.3</v>
      </c>
      <c r="M20" s="134">
        <f>$K20 *D20 / Bow_Bonuses[Stam/Dmg]</f>
        <v>14.55434783</v>
      </c>
      <c r="N20" s="133">
        <f>IFERROR(__xludf.DUMMYFUNCTION("IF(G20&gt;0, ($L20+$M20) * G20 * ($K20 + IF(AND(REGEXMATCH($C20, $B20), REGEXMATCH($C20,Bow_Bonuses[[#HEADERS],[Py]])), Bow_Bonuses[Py],) ) / $K20, 0)"),0.0)</f>
        <v>0</v>
      </c>
      <c r="O20" s="133">
        <f>IFERROR(__xludf.DUMMYFUNCTION("IF(H20&gt;0, ($L20+$M20) * H20 * ($K20 + IF(AND(REGEXMATCH($C20, $B20), REGEXMATCH($C20,Bow_Bonuses[[#HEADERS],[He]])), Bow_Bonuses[He],) ) / $K20, 0)"),0.0)</f>
        <v>0</v>
      </c>
      <c r="P20" s="133">
        <f>IFERROR(__xludf.DUMMYFUNCTION("IF(I20&gt;0, ($L20+$M20) * I20 * ($K20 + IF(AND(REGEXMATCH($C20, $B20), REGEXMATCH($C20,Bow_Bonuses[[#HEADERS],[Vo]])), Bow_Bonuses[Vo],) ) / $K20, 0)"),18.770869565217392)</f>
        <v>18.77086957</v>
      </c>
      <c r="Q20" s="134">
        <f>$K20 *E20 / Bow_Bonuses[Mag/Dmg]</f>
        <v>4.441666667</v>
      </c>
      <c r="R20" s="133">
        <f>IFERROR(__xludf.DUMMYFUNCTION("IF(G20&gt;0, ($L20+$Q20) * G20 * ($K20 + IF(AND(REGEXMATCH($C20, $B20), REGEXMATCH($C20,Bow_Bonuses[[#HEADERS],[Py]])), Bow_Bonuses[Py],) ) / $K20, 0)"),0.0)</f>
        <v>0</v>
      </c>
      <c r="S20" s="133">
        <f>IFERROR(__xludf.DUMMYFUNCTION("IF(H20&gt;0, ($L20+$Q20) * H20 * ($K20 + IF(AND(REGEXMATCH($C20, $B20), REGEXMATCH($C20,Bow_Bonuses[[#HEADERS],[He]])), Bow_Bonuses[He],) ) / $K20, 0)"),0.0)</f>
        <v>0</v>
      </c>
      <c r="T20" s="133">
        <f>IFERROR(__xludf.DUMMYFUNCTION("IF(I20&gt;0, ($L20+$Q20) * I20 * ($K20 + IF(AND(REGEXMATCH($C20, $B20), REGEXMATCH($C20,Bow_Bonuses[[#HEADERS],[Vo]])), Bow_Bonuses[Vo],) ) / $K20, 0)"),16.74833333333333)</f>
        <v>16.74833333</v>
      </c>
      <c r="U20" s="140">
        <f t="shared" si="2"/>
        <v>112.6252174</v>
      </c>
      <c r="V20" s="128">
        <v>113.0</v>
      </c>
      <c r="W20" s="141">
        <f t="shared" si="3"/>
        <v>0.003316660254</v>
      </c>
      <c r="X20" s="142">
        <f>IFERROR(__xludf.DUMMYFUNCTION("Bow_Bonuses[Special
Mult] * ((L20 + Q20) * (K20 + IF(REGEXMATCH(C20, B20), If(REGEXMATCH(C20, Bow_Bonuses[[#HEADERS],[Py]]), Bow_Bonuses[Py], 0) + If(REGEXMATCH(C20, Bow_Bonuses[[#HEADERS],[He]]), Bow_Bonuses[He], 0) + If(REGEXMATCH(C20, Bow_Bonuses[[#HEA"&amp;"DERS],[Vo]]), Bow_Bonuses[Vo], 0), 0)) / K20 + SUM(R20:T20))"),226.74666666666664)</f>
        <v>226.7466667</v>
      </c>
      <c r="Y20" s="128">
        <v>227.0</v>
      </c>
      <c r="Z20" s="144">
        <f t="shared" si="4"/>
        <v>0.001116005874</v>
      </c>
    </row>
    <row r="21" ht="22.5" customHeight="1">
      <c r="A21" s="146" t="s">
        <v>105</v>
      </c>
      <c r="B21" s="147" t="s">
        <v>22</v>
      </c>
      <c r="C21" s="147" t="s">
        <v>106</v>
      </c>
      <c r="D21" s="153">
        <f>IFERROR(__xludf.DUMMYFUNCTION("200 + Scaling!$C$6 + Scaling!$C$15 + (INDEX(SPLIT($A21, "".""),3) + VLOOKUP(INDEX(SPLIT($A21, "".""),2), Rarity_Bonus_Levels_[[Identifier]:[Bonus Lvls]], 2) - 1) * (Scaling!$C$7 + Scaling!$C$16)"),529.2)</f>
        <v>529.2</v>
      </c>
      <c r="E21" s="154">
        <f t="shared" ref="E21:E32" si="5">200</f>
        <v>200</v>
      </c>
      <c r="F21" s="155">
        <f>IFERROR(__xludf.DUMMYFUNCTION("Scaling!$C$4 + (INDEX(SPLIT($A21, "".""),3) + VLOOKUP(INDEX(SPLIT($A21, "".""),2), Rarity_Bonus_Levels_[[Identifier]:[Bonus Lvls]], 2) - 1) * (Scaling!$C$5)"),57.0)</f>
        <v>57</v>
      </c>
      <c r="G21" s="157">
        <v>0.08</v>
      </c>
      <c r="H21" s="157">
        <v>0.08</v>
      </c>
      <c r="I21" s="157">
        <v>0.08</v>
      </c>
      <c r="J21" s="159">
        <v>0.3</v>
      </c>
      <c r="K21" s="91">
        <f>IFERROR(__xludf.DUMMYFUNCTION("1 + J21 + IF(REGEXMATCH(C21, Bow_Bonuses[[#HEADERS],[Pe]]), Bow_Bonuses[Pe]) + IF(REGEXMATCH(C21, Bow_Bonuses[[#HEADERS],[Tr1]]), Bow_Bonuses[Tr1], 0) + IF(REGEXMATCH(C21, Bow_Bonuses[[#HEADERS],[Tr2]]), Bow_Bonuses[Tr2], 0)"),1.6)</f>
        <v>1.6</v>
      </c>
      <c r="L21" s="46">
        <f t="shared" si="1"/>
        <v>91.2</v>
      </c>
      <c r="M21" s="49">
        <f>$K21 * D21 / Bow_Bonuses[Stam/Dmg]</f>
        <v>18.40695652</v>
      </c>
      <c r="N21" s="46">
        <f>IFERROR(__xludf.DUMMYFUNCTION("IF(G21&gt;0, ($L21+$M21) * G21 * ($K21 + IF(AND(REGEXMATCH($C21, $B21), REGEXMATCH($C21,Bow_Bonuses[[#HEADERS],[Py]])), Bow_Bonuses[Py],) ) / $K21, 0)"),9.864626086956521)</f>
        <v>9.864626087</v>
      </c>
      <c r="O21" s="46">
        <f>IFERROR(__xludf.DUMMYFUNCTION("IF(H21&gt;0, ($L21+$M21) * H21 * ($K21 + IF(AND(REGEXMATCH($C21, $B21), REGEXMATCH($C21,Bow_Bonuses[[#HEADERS],[He]])), Bow_Bonuses[He],) ) / $K21, 0)"),8.76855652173913)</f>
        <v>8.768556522</v>
      </c>
      <c r="P21" s="46">
        <f>IFERROR(__xludf.DUMMYFUNCTION("IF(I21&gt;0, ($L21+$M21) * I21 * ($K21 + IF(AND(REGEXMATCH($C21, $B21), REGEXMATCH($C21,Bow_Bonuses[[#HEADERS],[Vo]])), Bow_Bonuses[Vo],) ) / $K21, 0)"),8.76855652173913)</f>
        <v>8.768556522</v>
      </c>
      <c r="Q21" s="49">
        <f>$K21 *E21 / Bow_Bonuses[Mag/Dmg]</f>
        <v>5.333333333</v>
      </c>
      <c r="R21" s="46">
        <f>IFERROR(__xludf.DUMMYFUNCTION("IF(G21&gt;0, ($L21+$Q21) * G21 * ($K21 + IF(AND(REGEXMATCH($C21, $B21), REGEXMATCH($C21,Bow_Bonuses[[#HEADERS],[Py]])), Bow_Bonuses[Py],) ) / $K21, 0)"),8.687999999999999)</f>
        <v>8.688</v>
      </c>
      <c r="S21" s="46">
        <f>IFERROR(__xludf.DUMMYFUNCTION("IF(H21&gt;0, ($L21+$Q21) * H21 * ($K21 + IF(AND(REGEXMATCH($C21, $B21), REGEXMATCH($C21,Bow_Bonuses[[#HEADERS],[He]])), Bow_Bonuses[He],) ) / $K21, 0)"),7.722666666666667)</f>
        <v>7.722666667</v>
      </c>
      <c r="T21" s="46">
        <f>IFERROR(__xludf.DUMMYFUNCTION("IF(I21&gt;0, ($L21+$Q21) * I21 * ($K21 + IF(AND(REGEXMATCH($C21, $B21), REGEXMATCH($C21,Bow_Bonuses[[#HEADERS],[Vo]])), Bow_Bonuses[Vo],) ) / $K21, 0)"),7.722666666666667)</f>
        <v>7.722666667</v>
      </c>
      <c r="U21" s="66">
        <f t="shared" si="2"/>
        <v>137.0086957</v>
      </c>
      <c r="V21" s="164"/>
      <c r="W21" s="70" t="str">
        <f t="shared" si="3"/>
        <v/>
      </c>
      <c r="X21" s="94">
        <f>IFERROR(__xludf.DUMMYFUNCTION("Bow_Bonuses[Special
Mult] * ((L21 + Q21) * (K21 + IF(REGEXMATCH(C21, B21), If(REGEXMATCH(C21, Bow_Bonuses[[#HEADERS],[Py]]), Bow_Bonuses[Py], 0) + If(REGEXMATCH(C21, Bow_Bonuses[[#HEADERS],[He]]), Bow_Bonuses[He], 0) + If(REGEXMATCH(C21, Bow_Bonuses[[#HEA"&amp;"DERS],[Vo]]), Bow_Bonuses[Vo], 0), 0)) / K21 + SUM(R21:T21))"),265.46666666666664)</f>
        <v>265.4666667</v>
      </c>
      <c r="Y21" s="94"/>
      <c r="Z21" s="74" t="str">
        <f t="shared" si="4"/>
        <v/>
      </c>
    </row>
    <row r="22" ht="22.5" customHeight="1">
      <c r="A22" s="146" t="s">
        <v>105</v>
      </c>
      <c r="B22" s="169" t="s">
        <v>22</v>
      </c>
      <c r="C22" s="169" t="s">
        <v>106</v>
      </c>
      <c r="D22" s="153">
        <f>IFERROR(__xludf.DUMMYFUNCTION("200 + Scaling!$C$6 + Scaling!$C$15 + (INDEX(SPLIT($A22, "".""),3) + VLOOKUP(INDEX(SPLIT($A22, "".""),2), Rarity_Bonus_Levels_[[Identifier]:[Bonus Lvls]], 2) - 1) * (Scaling!$C$7 + Scaling!$C$16)"),529.2)</f>
        <v>529.2</v>
      </c>
      <c r="E22" s="154">
        <f t="shared" si="5"/>
        <v>200</v>
      </c>
      <c r="F22" s="155">
        <f>IFERROR(__xludf.DUMMYFUNCTION("Scaling!$C$4 + (INDEX(SPLIT($A22, "".""),3) + VLOOKUP(INDEX(SPLIT($A22, "".""),2), Rarity_Bonus_Levels_[[Identifier]:[Bonus Lvls]], 2) - 1) * (Scaling!$C$5)"),57.0)</f>
        <v>57</v>
      </c>
      <c r="G22" s="112">
        <v>0.2</v>
      </c>
      <c r="H22" s="175"/>
      <c r="I22" s="175"/>
      <c r="J22" s="177">
        <v>0.3</v>
      </c>
      <c r="K22" s="91">
        <f>IFERROR(__xludf.DUMMYFUNCTION("1 + J22 + IF(REGEXMATCH(C22, Bow_Bonuses[[#HEADERS],[Pe]]), Bow_Bonuses[Pe]) + IF(REGEXMATCH(C22, Bow_Bonuses[[#HEADERS],[Tr1]]), Bow_Bonuses[Tr1], 0) + IF(REGEXMATCH(C22, Bow_Bonuses[[#HEADERS],[Tr2]]), Bow_Bonuses[Tr2], 0)"),1.6)</f>
        <v>1.6</v>
      </c>
      <c r="L22" s="46">
        <f t="shared" si="1"/>
        <v>91.2</v>
      </c>
      <c r="M22" s="49">
        <f>$K22 * D22 / Bow_Bonuses[Stam/Dmg]</f>
        <v>18.40695652</v>
      </c>
      <c r="N22" s="46">
        <f>IFERROR(__xludf.DUMMYFUNCTION("IF(G22&gt;0, ($L22+$M22) * G22 * ($K22 + IF(AND(REGEXMATCH($C22, $B22), REGEXMATCH($C22,Bow_Bonuses[[#HEADERS],[Py]])), Bow_Bonuses[Py],) ) / $K22, 0)"),24.661565217391306)</f>
        <v>24.66156522</v>
      </c>
      <c r="O22" s="46">
        <f>IFERROR(__xludf.DUMMYFUNCTION("IF(H22&gt;0, ($L22+$M22) * H22 * ($K22 + IF(AND(REGEXMATCH($C22, $B22), REGEXMATCH($C22,Bow_Bonuses[[#HEADERS],[He]])), Bow_Bonuses[He],) ) / $K22, 0)"),0.0)</f>
        <v>0</v>
      </c>
      <c r="P22" s="46">
        <f>IFERROR(__xludf.DUMMYFUNCTION("IF(I22&gt;0, ($L22+$M22) * I22 * ($K22 + IF(AND(REGEXMATCH($C22, $B22), REGEXMATCH($C22,Bow_Bonuses[[#HEADERS],[Vo]])), Bow_Bonuses[Vo],) ) / $K22, 0)"),0.0)</f>
        <v>0</v>
      </c>
      <c r="Q22" s="49">
        <f>$K22 *E22 / Bow_Bonuses[Mag/Dmg]</f>
        <v>5.333333333</v>
      </c>
      <c r="R22" s="46">
        <f>IFERROR(__xludf.DUMMYFUNCTION("IF(G22&gt;0, ($L22+$Q22) * G22 * ($K22 + IF(AND(REGEXMATCH($C22, $B22), REGEXMATCH($C22,Bow_Bonuses[[#HEADERS],[Py]])), Bow_Bonuses[Py],) ) / $K22, 0)"),21.72)</f>
        <v>21.72</v>
      </c>
      <c r="S22" s="46">
        <f>IFERROR(__xludf.DUMMYFUNCTION("IF(H22&gt;0, ($L22+$Q22) * H22 * ($K22 + IF(AND(REGEXMATCH($C22, $B22), REGEXMATCH($C22,Bow_Bonuses[[#HEADERS],[He]])), Bow_Bonuses[He],) ) / $K22, 0)"),0.0)</f>
        <v>0</v>
      </c>
      <c r="T22" s="46">
        <f>IFERROR(__xludf.DUMMYFUNCTION("IF(I22&gt;0, ($L22+$Q22) * I22 * ($K22 + IF(AND(REGEXMATCH($C22, $B22), REGEXMATCH($C22,Bow_Bonuses[[#HEADERS],[Vo]])), Bow_Bonuses[Vo],) ) / $K22, 0)"),0.0)</f>
        <v>0</v>
      </c>
      <c r="U22" s="66">
        <f t="shared" si="2"/>
        <v>134.2685217</v>
      </c>
      <c r="V22" s="164"/>
      <c r="W22" s="70" t="str">
        <f t="shared" si="3"/>
        <v/>
      </c>
      <c r="X22" s="94">
        <f>IFERROR(__xludf.DUMMYFUNCTION("Bow_Bonuses[Special
Mult] * ((L22 + Q22) * (K22 + IF(REGEXMATCH(C22, B22), If(REGEXMATCH(C22, Bow_Bonuses[[#HEADERS],[Py]]), Bow_Bonuses[Py], 0) + If(REGEXMATCH(C22, Bow_Bonuses[[#HEADERS],[He]]), Bow_Bonuses[He], 0) + If(REGEXMATCH(C22, Bow_Bonuses[[#HEA"&amp;"DERS],[Vo]]), Bow_Bonuses[Vo], 0), 0)) / K22 + SUM(R22:T22))"),260.64)</f>
        <v>260.64</v>
      </c>
      <c r="Y22" s="94"/>
      <c r="Z22" s="74" t="str">
        <f t="shared" si="4"/>
        <v/>
      </c>
    </row>
    <row r="23" ht="22.5" customHeight="1">
      <c r="A23" s="146" t="s">
        <v>105</v>
      </c>
      <c r="B23" s="183" t="s">
        <v>22</v>
      </c>
      <c r="C23" s="183" t="s">
        <v>106</v>
      </c>
      <c r="D23" s="153">
        <f>IFERROR(__xludf.DUMMYFUNCTION("200 + Scaling!$C$6 + Scaling!$C$15 + (INDEX(SPLIT($A23, "".""),3) + VLOOKUP(INDEX(SPLIT($A23, "".""),2), Rarity_Bonus_Levels_[[Identifier]:[Bonus Lvls]], 2) - 1) * (Scaling!$C$7 + Scaling!$C$16)"),529.2)</f>
        <v>529.2</v>
      </c>
      <c r="E23" s="154">
        <f t="shared" si="5"/>
        <v>200</v>
      </c>
      <c r="F23" s="155">
        <f>IFERROR(__xludf.DUMMYFUNCTION("Scaling!$C$4 + (INDEX(SPLIT($A23, "".""),3) + VLOOKUP(INDEX(SPLIT($A23, "".""),2), Rarity_Bonus_Levels_[[Identifier]:[Bonus Lvls]], 2) - 1) * (Scaling!$C$5)"),57.0)</f>
        <v>57</v>
      </c>
      <c r="G23" s="184"/>
      <c r="H23" s="112">
        <v>0.2</v>
      </c>
      <c r="I23" s="184"/>
      <c r="J23" s="186">
        <v>0.3</v>
      </c>
      <c r="K23" s="91">
        <f>IFERROR(__xludf.DUMMYFUNCTION("1 + J23 + IF(REGEXMATCH(C23, Bow_Bonuses[[#HEADERS],[Pe]]), Bow_Bonuses[Pe]) + IF(REGEXMATCH(C23, Bow_Bonuses[[#HEADERS],[Tr1]]), Bow_Bonuses[Tr1], 0) + IF(REGEXMATCH(C23, Bow_Bonuses[[#HEADERS],[Tr2]]), Bow_Bonuses[Tr2], 0)"),1.6)</f>
        <v>1.6</v>
      </c>
      <c r="L23" s="46">
        <f t="shared" si="1"/>
        <v>91.2</v>
      </c>
      <c r="M23" s="49">
        <f>$K23 * D23 / Bow_Bonuses[Stam/Dmg]</f>
        <v>18.40695652</v>
      </c>
      <c r="N23" s="46">
        <f>IFERROR(__xludf.DUMMYFUNCTION("IF(G23&gt;0, ($L23+$M23) * G23 * ($K23 + IF(AND(REGEXMATCH($C23, $B23), REGEXMATCH($C23,Bow_Bonuses[[#HEADERS],[Py]])), Bow_Bonuses[Py],) ) / $K23, 0)"),0.0)</f>
        <v>0</v>
      </c>
      <c r="O23" s="46">
        <f>IFERROR(__xludf.DUMMYFUNCTION("IF(H23&gt;0, ($L23+$M23) * H23 * ($K23 + IF(AND(REGEXMATCH($C23, $B23), REGEXMATCH($C23,Bow_Bonuses[[#HEADERS],[He]])), Bow_Bonuses[He],) ) / $K23, 0)"),21.92139130434783)</f>
        <v>21.9213913</v>
      </c>
      <c r="P23" s="46">
        <f>IFERROR(__xludf.DUMMYFUNCTION("IF(I23&gt;0, ($L23+$M23) * I23 * ($K23 + IF(AND(REGEXMATCH($C23, $B23), REGEXMATCH($C23,Bow_Bonuses[[#HEADERS],[Vo]])), Bow_Bonuses[Vo],) ) / $K23, 0)"),0.0)</f>
        <v>0</v>
      </c>
      <c r="Q23" s="49">
        <f>$K23 *E23 / Bow_Bonuses[Mag/Dmg]</f>
        <v>5.333333333</v>
      </c>
      <c r="R23" s="46">
        <f>IFERROR(__xludf.DUMMYFUNCTION("IF(G23&gt;0, ($L23+$Q23) * G23 * ($K23 + IF(AND(REGEXMATCH($C23, $B23), REGEXMATCH($C23,Bow_Bonuses[[#HEADERS],[Py]])), Bow_Bonuses[Py],) ) / $K23, 0)"),0.0)</f>
        <v>0</v>
      </c>
      <c r="S23" s="46">
        <f>IFERROR(__xludf.DUMMYFUNCTION("IF(H23&gt;0, ($L23+$Q23) * H23 * ($K23 + IF(AND(REGEXMATCH($C23, $B23), REGEXMATCH($C23,Bow_Bonuses[[#HEADERS],[He]])), Bow_Bonuses[He],) ) / $K23, 0)"),19.30666666666667)</f>
        <v>19.30666667</v>
      </c>
      <c r="T23" s="46">
        <f>IFERROR(__xludf.DUMMYFUNCTION("IF(I23&gt;0, ($L23+$Q23) * I23 * ($K23 + IF(AND(REGEXMATCH($C23, $B23), REGEXMATCH($C23,Bow_Bonuses[[#HEADERS],[Vo]])), Bow_Bonuses[Vo],) ) / $K23, 0)"),0.0)</f>
        <v>0</v>
      </c>
      <c r="U23" s="66">
        <f t="shared" si="2"/>
        <v>131.5283478</v>
      </c>
      <c r="V23" s="164"/>
      <c r="W23" s="70" t="str">
        <f t="shared" si="3"/>
        <v/>
      </c>
      <c r="X23" s="94">
        <f>IFERROR(__xludf.DUMMYFUNCTION("Bow_Bonuses[Special
Mult] * ((L23 + Q23) * (K23 + IF(REGEXMATCH(C23, B23), If(REGEXMATCH(C23, Bow_Bonuses[[#HEADERS],[Py]]), Bow_Bonuses[Py], 0) + If(REGEXMATCH(C23, Bow_Bonuses[[#HEADERS],[He]]), Bow_Bonuses[He], 0) + If(REGEXMATCH(C23, Bow_Bonuses[[#HEA"&amp;"DERS],[Vo]]), Bow_Bonuses[Vo], 0), 0)) / K23 + SUM(R23:T23))"),255.81333333333333)</f>
        <v>255.8133333</v>
      </c>
      <c r="Y23" s="94"/>
      <c r="Z23" s="74" t="str">
        <f t="shared" si="4"/>
        <v/>
      </c>
    </row>
    <row r="24" ht="22.5" customHeight="1">
      <c r="A24" s="146" t="s">
        <v>105</v>
      </c>
      <c r="B24" s="192" t="s">
        <v>22</v>
      </c>
      <c r="C24" s="192" t="s">
        <v>106</v>
      </c>
      <c r="D24" s="195">
        <f>IFERROR(__xludf.DUMMYFUNCTION("200 + Scaling!$C$6 + Scaling!$C$15 + (INDEX(SPLIT($A24, "".""),3) + VLOOKUP(INDEX(SPLIT($A24, "".""),2), Rarity_Bonus_Levels_[[Identifier]:[Bonus Lvls]], 2) - 1) * (Scaling!$C$7 + Scaling!$C$16)"),529.2)</f>
        <v>529.2</v>
      </c>
      <c r="E24" s="197">
        <f t="shared" si="5"/>
        <v>200</v>
      </c>
      <c r="F24" s="198">
        <f>IFERROR(__xludf.DUMMYFUNCTION("Scaling!$C$4 + (INDEX(SPLIT($A24, "".""),3) + VLOOKUP(INDEX(SPLIT($A24, "".""),2), Rarity_Bonus_Levels_[[Identifier]:[Bonus Lvls]], 2) - 1) * (Scaling!$C$5)"),57.0)</f>
        <v>57</v>
      </c>
      <c r="G24" s="199"/>
      <c r="H24" s="199"/>
      <c r="I24" s="199"/>
      <c r="J24" s="201">
        <v>0.3</v>
      </c>
      <c r="K24" s="202">
        <f>IFERROR(__xludf.DUMMYFUNCTION("1 + J24 + IF(REGEXMATCH(C24, Bow_Bonuses[[#HEADERS],[Pe]]), Bow_Bonuses[Pe]) + IF(REGEXMATCH(C24, Bow_Bonuses[[#HEADERS],[Tr1]]), Bow_Bonuses[Tr1], 0) + IF(REGEXMATCH(C24, Bow_Bonuses[[#HEADERS],[Tr2]]), Bow_Bonuses[Tr2], 0)"),1.6)</f>
        <v>1.6</v>
      </c>
      <c r="L24" s="133">
        <f t="shared" si="1"/>
        <v>91.2</v>
      </c>
      <c r="M24" s="134">
        <f>$K24 * D24 / Bow_Bonuses[Stam/Dmg]</f>
        <v>18.40695652</v>
      </c>
      <c r="N24" s="133">
        <f>IFERROR(__xludf.DUMMYFUNCTION("IF(G24&gt;0, ($L24+$M24) * G24 * ($K24 + IF(AND(REGEXMATCH($C24, $B24), REGEXMATCH($C24,Bow_Bonuses[[#HEADERS],[Py]])), Bow_Bonuses[Py],) ) / $K24, 0)"),0.0)</f>
        <v>0</v>
      </c>
      <c r="O24" s="133">
        <f>IFERROR(__xludf.DUMMYFUNCTION("IF(H24&gt;0, ($L24+$M24) * H24 * ($K24 + IF(AND(REGEXMATCH($C24, $B24), REGEXMATCH($C24,Bow_Bonuses[[#HEADERS],[He]])), Bow_Bonuses[He],) ) / $K24, 0)"),0.0)</f>
        <v>0</v>
      </c>
      <c r="P24" s="133">
        <f>IFERROR(__xludf.DUMMYFUNCTION("IF(I24&gt;0, ($L24+$M24) * I24 * ($K24 + IF(AND(REGEXMATCH($C24, $B24), REGEXMATCH($C24,Bow_Bonuses[[#HEADERS],[Vo]])), Bow_Bonuses[Vo],) ) / $K24, 0)"),0.0)</f>
        <v>0</v>
      </c>
      <c r="Q24" s="134">
        <f>$K24 *E24 / Bow_Bonuses[Mag/Dmg]</f>
        <v>5.333333333</v>
      </c>
      <c r="R24" s="133">
        <f>IFERROR(__xludf.DUMMYFUNCTION("IF(G24&gt;0, ($L24+$Q24) * G24 * ($K24 + IF(AND(REGEXMATCH($C24, $B24), REGEXMATCH($C24,Bow_Bonuses[[#HEADERS],[Py]])), Bow_Bonuses[Py],) ) / $K24, 0)"),0.0)</f>
        <v>0</v>
      </c>
      <c r="S24" s="133">
        <f>IFERROR(__xludf.DUMMYFUNCTION("IF(H24&gt;0, ($L24+$Q24) * H24 * ($K24 + IF(AND(REGEXMATCH($C24, $B24), REGEXMATCH($C24,Bow_Bonuses[[#HEADERS],[He]])), Bow_Bonuses[He],) ) / $K24, 0)"),0.0)</f>
        <v>0</v>
      </c>
      <c r="T24" s="133">
        <f>IFERROR(__xludf.DUMMYFUNCTION("IF(I24&gt;0, ($L24+$Q24) * I24 * ($K24 + IF(AND(REGEXMATCH($C24, $B24), REGEXMATCH($C24,Bow_Bonuses[[#HEADERS],[Vo]])), Bow_Bonuses[Vo],) ) / $K24, 0)"),0.0)</f>
        <v>0</v>
      </c>
      <c r="U24" s="140">
        <f t="shared" si="2"/>
        <v>109.6069565</v>
      </c>
      <c r="V24" s="204"/>
      <c r="W24" s="141" t="str">
        <f t="shared" si="3"/>
        <v/>
      </c>
      <c r="X24" s="207">
        <f>IFERROR(__xludf.DUMMYFUNCTION("Bow_Bonuses[Special
Mult] * ((L24 + Q24) * (K24 + IF(REGEXMATCH(C24, B24), If(REGEXMATCH(C24, Bow_Bonuses[[#HEADERS],[Py]]), Bow_Bonuses[Py], 0) + If(REGEXMATCH(C24, Bow_Bonuses[[#HEADERS],[He]]), Bow_Bonuses[He], 0) + If(REGEXMATCH(C24, Bow_Bonuses[[#HEA"&amp;"DERS],[Vo]]), Bow_Bonuses[Vo], 0), 0)) / K24 + SUM(R24:T24))"),217.2)</f>
        <v>217.2</v>
      </c>
      <c r="Y24" s="207"/>
      <c r="Z24" s="144" t="str">
        <f t="shared" si="4"/>
        <v/>
      </c>
    </row>
    <row r="25" ht="22.5" customHeight="1">
      <c r="A25" s="208" t="s">
        <v>79</v>
      </c>
      <c r="B25" s="147" t="s">
        <v>22</v>
      </c>
      <c r="C25" s="147" t="s">
        <v>106</v>
      </c>
      <c r="D25" s="210">
        <f>IFERROR(__xludf.DUMMYFUNCTION("200 + Scaling!$C$6 + Scaling!$C$15 + (INDEX(SPLIT($A25, "".""),3) + VLOOKUP(INDEX(SPLIT($A25, "".""),2), Rarity_Bonus_Levels_[[Identifier]:[Bonus Lvls]], 2) - 1) * (Scaling!$C$7 + Scaling!$C$16)"),956.4000000000001)</f>
        <v>956.4</v>
      </c>
      <c r="E25" s="210">
        <f t="shared" si="5"/>
        <v>200</v>
      </c>
      <c r="F25" s="220">
        <f>IFERROR(__xludf.DUMMYFUNCTION("Scaling!$C$4 + (INDEX(SPLIT($A25, "".""),3) + VLOOKUP(INDEX(SPLIT($A25, "".""),2), Rarity_Bonus_Levels_[[Identifier]:[Bonus Lvls]], 2) - 1) * (Scaling!$C$5)"),153.0)</f>
        <v>153</v>
      </c>
      <c r="G25" s="157">
        <v>0.08</v>
      </c>
      <c r="H25" s="157">
        <v>0.08</v>
      </c>
      <c r="I25" s="157">
        <v>0.08</v>
      </c>
      <c r="J25" s="159">
        <v>0.3</v>
      </c>
      <c r="K25" s="225">
        <f>IFERROR(__xludf.DUMMYFUNCTION("1 + J25 + IF(REGEXMATCH(C25, Bow_Bonuses[[#HEADERS],[Pe]]), Bow_Bonuses[Pe]) + IF(REGEXMATCH(C25, Bow_Bonuses[[#HEADERS],[Tr1]]), Bow_Bonuses[Tr1], 0) + IF(REGEXMATCH(C25, Bow_Bonuses[[#HEADERS],[Tr2]]), Bow_Bonuses[Tr2], 0)"),1.6)</f>
        <v>1.6</v>
      </c>
      <c r="L25" s="227">
        <f t="shared" si="1"/>
        <v>244.8</v>
      </c>
      <c r="M25" s="230">
        <f>$K25 * D25 / Bow_Bonuses[Stam/Dmg]</f>
        <v>33.26608696</v>
      </c>
      <c r="N25" s="46">
        <f>IFERROR(__xludf.DUMMYFUNCTION("IF(G25&gt;0, ($L25+$M25) * G25 * ($K25 + IF(AND(REGEXMATCH($C25, $B25), REGEXMATCH($C25,Bow_Bonuses[[#HEADERS],[Py]])), Bow_Bonuses[Py],) ) / $K25, 0)"),25.025947826086956)</f>
        <v>25.02594783</v>
      </c>
      <c r="O25" s="46">
        <f>IFERROR(__xludf.DUMMYFUNCTION("IF(H25&gt;0, ($L25+$M25) * H25 * ($K25 + IF(AND(REGEXMATCH($C25, $B25), REGEXMATCH($C25,Bow_Bonuses[[#HEADERS],[He]])), Bow_Bonuses[He],) ) / $K25, 0)"),22.245286956521742)</f>
        <v>22.24528696</v>
      </c>
      <c r="P25" s="46">
        <f>IFERROR(__xludf.DUMMYFUNCTION("IF(I25&gt;0, ($L25+$M25) * I25 * ($K25 + IF(AND(REGEXMATCH($C25, $B25), REGEXMATCH($C25,Bow_Bonuses[[#HEADERS],[Vo]])), Bow_Bonuses[Vo],) ) / $K25, 0)"),22.245286956521742)</f>
        <v>22.24528696</v>
      </c>
      <c r="Q25" s="49">
        <f>$K25 *E25 / Bow_Bonuses[Mag/Dmg]</f>
        <v>5.333333333</v>
      </c>
      <c r="R25" s="227">
        <f>IFERROR(__xludf.DUMMYFUNCTION("IF(G25&gt;0, ($L25+$Q25) * G25 * ($K25 + IF(AND(REGEXMATCH($C25, $B25), REGEXMATCH($C25,Bow_Bonuses[[#HEADERS],[Py]])), Bow_Bonuses[Py],) ) / $K25, 0)"),22.512)</f>
        <v>22.512</v>
      </c>
      <c r="S25" s="227">
        <f>IFERROR(__xludf.DUMMYFUNCTION("IF(H25&gt;0, ($L25+$Q25) * H25 * ($K25 + IF(AND(REGEXMATCH($C25, $B25), REGEXMATCH($C25,Bow_Bonuses[[#HEADERS],[He]])), Bow_Bonuses[He],) ) / $K25, 0)"),20.01066666666667)</f>
        <v>20.01066667</v>
      </c>
      <c r="T25" s="46">
        <f>IFERROR(__xludf.DUMMYFUNCTION("IF(I25&gt;0, ($L25+$Q25) * I25 * ($K25 + IF(AND(REGEXMATCH($C25, $B25), REGEXMATCH($C25,Bow_Bonuses[[#HEADERS],[Vo]])), Bow_Bonuses[Vo],) ) / $K25, 0)"),20.01066666666667)</f>
        <v>20.01066667</v>
      </c>
      <c r="U25" s="66">
        <f t="shared" si="2"/>
        <v>347.5826087</v>
      </c>
      <c r="V25" s="233"/>
      <c r="W25" s="234" t="str">
        <f t="shared" si="3"/>
        <v/>
      </c>
      <c r="X25" s="235">
        <f>IFERROR(__xludf.DUMMYFUNCTION("Bow_Bonuses[Special
Mult] * ((L25 + Q25) * (K25 + IF(REGEXMATCH(C25, B25), If(REGEXMATCH(C25, Bow_Bonuses[[#HEADERS],[Py]]), Bow_Bonuses[Py], 0) + If(REGEXMATCH(C25, Bow_Bonuses[[#HEADERS],[He]]), Bow_Bonuses[He], 0) + If(REGEXMATCH(C25, Bow_Bonuses[[#HEA"&amp;"DERS],[Vo]]), Bow_Bonuses[Vo], 0), 0)) / K25 + SUM(R25:T25))"),687.8666666666668)</f>
        <v>687.8666667</v>
      </c>
      <c r="Y25" s="235"/>
      <c r="Z25" s="236" t="str">
        <f t="shared" si="4"/>
        <v/>
      </c>
    </row>
    <row r="26" ht="22.5" customHeight="1">
      <c r="A26" s="239" t="s">
        <v>79</v>
      </c>
      <c r="B26" s="169" t="s">
        <v>22</v>
      </c>
      <c r="C26" s="169" t="s">
        <v>106</v>
      </c>
      <c r="D26" s="243">
        <f>IFERROR(__xludf.DUMMYFUNCTION("200 + Scaling!$C$6 + Scaling!$C$15 + (INDEX(SPLIT($A26, "".""),3) + VLOOKUP(INDEX(SPLIT($A26, "".""),2), Rarity_Bonus_Levels_[[Identifier]:[Bonus Lvls]], 2) - 1) * (Scaling!$C$7 + Scaling!$C$16)"),956.4000000000001)</f>
        <v>956.4</v>
      </c>
      <c r="E26" s="243">
        <f t="shared" si="5"/>
        <v>200</v>
      </c>
      <c r="F26" s="246">
        <f>IFERROR(__xludf.DUMMYFUNCTION("Scaling!$C$4 + (INDEX(SPLIT($A26, "".""),3) + VLOOKUP(INDEX(SPLIT($A26, "".""),2), Rarity_Bonus_Levels_[[Identifier]:[Bonus Lvls]], 2) - 1) * (Scaling!$C$5)"),153.0)</f>
        <v>153</v>
      </c>
      <c r="G26" s="112">
        <v>0.2</v>
      </c>
      <c r="H26" s="175"/>
      <c r="I26" s="175"/>
      <c r="J26" s="177">
        <v>0.3</v>
      </c>
      <c r="K26" s="91">
        <f>IFERROR(__xludf.DUMMYFUNCTION("1 + J26 + IF(REGEXMATCH(C26, Bow_Bonuses[[#HEADERS],[Pe]]), Bow_Bonuses[Pe]) + IF(REGEXMATCH(C26, Bow_Bonuses[[#HEADERS],[Tr1]]), Bow_Bonuses[Tr1], 0) + IF(REGEXMATCH(C26, Bow_Bonuses[[#HEADERS],[Tr2]]), Bow_Bonuses[Tr2], 0)"),1.6)</f>
        <v>1.6</v>
      </c>
      <c r="L26" s="46">
        <f t="shared" si="1"/>
        <v>244.8</v>
      </c>
      <c r="M26" s="49">
        <f>$K26 * D26 / Bow_Bonuses[Stam/Dmg]</f>
        <v>33.26608696</v>
      </c>
      <c r="N26" s="46">
        <f>IFERROR(__xludf.DUMMYFUNCTION("IF(G26&gt;0, ($L26+$M26) * G26 * ($K26 + IF(AND(REGEXMATCH($C26, $B26), REGEXMATCH($C26,Bow_Bonuses[[#HEADERS],[Py]])), Bow_Bonuses[Py],) ) / $K26, 0)"),62.56486956521739)</f>
        <v>62.56486957</v>
      </c>
      <c r="O26" s="46">
        <f>IFERROR(__xludf.DUMMYFUNCTION("IF(H26&gt;0, ($L26+$M26) * H26 * ($K26 + IF(AND(REGEXMATCH($C26, $B26), REGEXMATCH($C26,Bow_Bonuses[[#HEADERS],[He]])), Bow_Bonuses[He],) ) / $K26, 0)"),0.0)</f>
        <v>0</v>
      </c>
      <c r="P26" s="46">
        <f>IFERROR(__xludf.DUMMYFUNCTION("IF(I26&gt;0, ($L26+$M26) * I26 * ($K26 + IF(AND(REGEXMATCH($C26, $B26), REGEXMATCH($C26,Bow_Bonuses[[#HEADERS],[Vo]])), Bow_Bonuses[Vo],) ) / $K26, 0)"),0.0)</f>
        <v>0</v>
      </c>
      <c r="Q26" s="49">
        <f>$K26 *E26 / Bow_Bonuses[Mag/Dmg]</f>
        <v>5.333333333</v>
      </c>
      <c r="R26" s="46">
        <f>IFERROR(__xludf.DUMMYFUNCTION("IF(G26&gt;0, ($L26+$Q26) * G26 * ($K26 + IF(AND(REGEXMATCH($C26, $B26), REGEXMATCH($C26,Bow_Bonuses[[#HEADERS],[Py]])), Bow_Bonuses[Py],) ) / $K26, 0)"),56.28000000000001)</f>
        <v>56.28</v>
      </c>
      <c r="S26" s="46">
        <f>IFERROR(__xludf.DUMMYFUNCTION("IF(H26&gt;0, ($L26+$Q26) * H26 * ($K26 + IF(AND(REGEXMATCH($C26, $B26), REGEXMATCH($C26,Bow_Bonuses[[#HEADERS],[He]])), Bow_Bonuses[He],) ) / $K26, 0)"),0.0)</f>
        <v>0</v>
      </c>
      <c r="T26" s="46">
        <f>IFERROR(__xludf.DUMMYFUNCTION("IF(I26&gt;0, ($L26+$Q26) * I26 * ($K26 + IF(AND(REGEXMATCH($C26, $B26), REGEXMATCH($C26,Bow_Bonuses[[#HEADERS],[Vo]])), Bow_Bonuses[Vo],) ) / $K26, 0)"),0.0)</f>
        <v>0</v>
      </c>
      <c r="U26" s="66">
        <f t="shared" si="2"/>
        <v>340.6309565</v>
      </c>
      <c r="V26" s="164"/>
      <c r="W26" s="70" t="str">
        <f t="shared" si="3"/>
        <v/>
      </c>
      <c r="X26" s="94">
        <f>IFERROR(__xludf.DUMMYFUNCTION("Bow_Bonuses[Special
Mult] * ((L26 + Q26) * (K26 + IF(REGEXMATCH(C26, B26), If(REGEXMATCH(C26, Bow_Bonuses[[#HEADERS],[Py]]), Bow_Bonuses[Py], 0) + If(REGEXMATCH(C26, Bow_Bonuses[[#HEADERS],[He]]), Bow_Bonuses[He], 0) + If(REGEXMATCH(C26, Bow_Bonuses[[#HEA"&amp;"DERS],[Vo]]), Bow_Bonuses[Vo], 0), 0)) / K26 + SUM(R26:T26))"),675.3600000000001)</f>
        <v>675.36</v>
      </c>
      <c r="Y26" s="94"/>
      <c r="Z26" s="74" t="str">
        <f t="shared" si="4"/>
        <v/>
      </c>
    </row>
    <row r="27" ht="22.5" customHeight="1">
      <c r="A27" s="253" t="s">
        <v>79</v>
      </c>
      <c r="B27" s="183" t="s">
        <v>22</v>
      </c>
      <c r="C27" s="183" t="s">
        <v>106</v>
      </c>
      <c r="D27" s="243">
        <f>IFERROR(__xludf.DUMMYFUNCTION("200 + Scaling!$C$6 + Scaling!$C$15 + (INDEX(SPLIT($A27, "".""),3) + VLOOKUP(INDEX(SPLIT($A27, "".""),2), Rarity_Bonus_Levels_[[Identifier]:[Bonus Lvls]], 2) - 1) * (Scaling!$C$7 + Scaling!$C$16)"),956.4000000000001)</f>
        <v>956.4</v>
      </c>
      <c r="E27" s="243">
        <f t="shared" si="5"/>
        <v>200</v>
      </c>
      <c r="F27" s="246">
        <f>IFERROR(__xludf.DUMMYFUNCTION("Scaling!$C$4 + (INDEX(SPLIT($A27, "".""),3) + VLOOKUP(INDEX(SPLIT($A27, "".""),2), Rarity_Bonus_Levels_[[Identifier]:[Bonus Lvls]], 2) - 1) * (Scaling!$C$5)"),153.0)</f>
        <v>153</v>
      </c>
      <c r="G27" s="184"/>
      <c r="H27" s="112">
        <v>0.2</v>
      </c>
      <c r="I27" s="184"/>
      <c r="J27" s="186">
        <v>0.3</v>
      </c>
      <c r="K27" s="91">
        <f>IFERROR(__xludf.DUMMYFUNCTION("1 + J27 + IF(REGEXMATCH(C27, Bow_Bonuses[[#HEADERS],[Pe]]), Bow_Bonuses[Pe]) + IF(REGEXMATCH(C27, Bow_Bonuses[[#HEADERS],[Tr1]]), Bow_Bonuses[Tr1], 0) + IF(REGEXMATCH(C27, Bow_Bonuses[[#HEADERS],[Tr2]]), Bow_Bonuses[Tr2], 0)"),1.6)</f>
        <v>1.6</v>
      </c>
      <c r="L27" s="46">
        <f t="shared" si="1"/>
        <v>244.8</v>
      </c>
      <c r="M27" s="49">
        <f>$K27 * D27 / Bow_Bonuses[Stam/Dmg]</f>
        <v>33.26608696</v>
      </c>
      <c r="N27" s="46">
        <f>IFERROR(__xludf.DUMMYFUNCTION("IF(G27&gt;0, ($L27+$M27) * G27 * ($K27 + IF(AND(REGEXMATCH($C27, $B27), REGEXMATCH($C27,Bow_Bonuses[[#HEADERS],[Py]])), Bow_Bonuses[Py],) ) / $K27, 0)"),0.0)</f>
        <v>0</v>
      </c>
      <c r="O27" s="46">
        <f>IFERROR(__xludf.DUMMYFUNCTION("IF(H27&gt;0, ($L27+$M27) * H27 * ($K27 + IF(AND(REGEXMATCH($C27, $B27), REGEXMATCH($C27,Bow_Bonuses[[#HEADERS],[He]])), Bow_Bonuses[He],) ) / $K27, 0)"),55.61321739130435)</f>
        <v>55.61321739</v>
      </c>
      <c r="P27" s="46">
        <f>IFERROR(__xludf.DUMMYFUNCTION("IF(I27&gt;0, ($L27+$M27) * I27 * ($K27 + IF(AND(REGEXMATCH($C27, $B27), REGEXMATCH($C27,Bow_Bonuses[[#HEADERS],[Vo]])), Bow_Bonuses[Vo],) ) / $K27, 0)"),0.0)</f>
        <v>0</v>
      </c>
      <c r="Q27" s="49">
        <f>$K27 *E27 / Bow_Bonuses[Mag/Dmg]</f>
        <v>5.333333333</v>
      </c>
      <c r="R27" s="46">
        <f>IFERROR(__xludf.DUMMYFUNCTION("IF(G27&gt;0, ($L27+$Q27) * G27 * ($K27 + IF(AND(REGEXMATCH($C27, $B27), REGEXMATCH($C27,Bow_Bonuses[[#HEADERS],[Py]])), Bow_Bonuses[Py],) ) / $K27, 0)"),0.0)</f>
        <v>0</v>
      </c>
      <c r="S27" s="46">
        <f>IFERROR(__xludf.DUMMYFUNCTION("IF(H27&gt;0, ($L27+$Q27) * H27 * ($K27 + IF(AND(REGEXMATCH($C27, $B27), REGEXMATCH($C27,Bow_Bonuses[[#HEADERS],[He]])), Bow_Bonuses[He],) ) / $K27, 0)"),50.02666666666667)</f>
        <v>50.02666667</v>
      </c>
      <c r="T27" s="46">
        <f>IFERROR(__xludf.DUMMYFUNCTION("IF(I27&gt;0, ($L27+$Q27) * I27 * ($K27 + IF(AND(REGEXMATCH($C27, $B27), REGEXMATCH($C27,Bow_Bonuses[[#HEADERS],[Vo]])), Bow_Bonuses[Vo],) ) / $K27, 0)"),0.0)</f>
        <v>0</v>
      </c>
      <c r="U27" s="66">
        <f t="shared" si="2"/>
        <v>333.6793043</v>
      </c>
      <c r="V27" s="164"/>
      <c r="W27" s="70" t="str">
        <f t="shared" si="3"/>
        <v/>
      </c>
      <c r="X27" s="94">
        <f>IFERROR(__xludf.DUMMYFUNCTION("Bow_Bonuses[Special
Mult] * ((L27 + Q27) * (K27 + IF(REGEXMATCH(C27, B27), If(REGEXMATCH(C27, Bow_Bonuses[[#HEADERS],[Py]]), Bow_Bonuses[Py], 0) + If(REGEXMATCH(C27, Bow_Bonuses[[#HEADERS],[He]]), Bow_Bonuses[He], 0) + If(REGEXMATCH(C27, Bow_Bonuses[[#HEA"&amp;"DERS],[Vo]]), Bow_Bonuses[Vo], 0), 0)) / K27 + SUM(R27:T27))"),662.8533333333335)</f>
        <v>662.8533333</v>
      </c>
      <c r="Y27" s="94"/>
      <c r="Z27" s="74" t="str">
        <f t="shared" si="4"/>
        <v/>
      </c>
    </row>
    <row r="28" ht="22.5" customHeight="1">
      <c r="A28" s="261" t="s">
        <v>79</v>
      </c>
      <c r="B28" s="192" t="s">
        <v>22</v>
      </c>
      <c r="C28" s="192" t="s">
        <v>106</v>
      </c>
      <c r="D28" s="262">
        <f>IFERROR(__xludf.DUMMYFUNCTION("200 + Scaling!$C$6 + Scaling!$C$15 + (INDEX(SPLIT($A28, "".""),3) + VLOOKUP(INDEX(SPLIT($A28, "".""),2), Rarity_Bonus_Levels_[[Identifier]:[Bonus Lvls]], 2) - 1) * (Scaling!$C$7 + Scaling!$C$16)"),956.4000000000001)</f>
        <v>956.4</v>
      </c>
      <c r="E28" s="262">
        <f t="shared" si="5"/>
        <v>200</v>
      </c>
      <c r="F28" s="263">
        <f>IFERROR(__xludf.DUMMYFUNCTION("Scaling!$C$4 + (INDEX(SPLIT($A28, "".""),3) + VLOOKUP(INDEX(SPLIT($A28, "".""),2), Rarity_Bonus_Levels_[[Identifier]:[Bonus Lvls]], 2) - 1) * (Scaling!$C$5)"),153.0)</f>
        <v>153</v>
      </c>
      <c r="G28" s="199"/>
      <c r="H28" s="199"/>
      <c r="I28" s="199"/>
      <c r="J28" s="201">
        <v>0.3</v>
      </c>
      <c r="K28" s="202">
        <f>IFERROR(__xludf.DUMMYFUNCTION("1 + J28 + IF(REGEXMATCH(C28, Bow_Bonuses[[#HEADERS],[Pe]]), Bow_Bonuses[Pe]) + IF(REGEXMATCH(C28, Bow_Bonuses[[#HEADERS],[Tr1]]), Bow_Bonuses[Tr1], 0) + IF(REGEXMATCH(C28, Bow_Bonuses[[#HEADERS],[Tr2]]), Bow_Bonuses[Tr2], 0)"),1.6)</f>
        <v>1.6</v>
      </c>
      <c r="L28" s="133">
        <f t="shared" si="1"/>
        <v>244.8</v>
      </c>
      <c r="M28" s="134">
        <f>$K28 * D28 / Bow_Bonuses[Stam/Dmg]</f>
        <v>33.26608696</v>
      </c>
      <c r="N28" s="133">
        <f>IFERROR(__xludf.DUMMYFUNCTION("IF(G28&gt;0, ($L28+$M28) * G28 * ($K28 + IF(AND(REGEXMATCH($C28, $B28), REGEXMATCH($C28,Bow_Bonuses[[#HEADERS],[Py]])), Bow_Bonuses[Py],) ) / $K28, 0)"),0.0)</f>
        <v>0</v>
      </c>
      <c r="O28" s="133">
        <f>IFERROR(__xludf.DUMMYFUNCTION("IF(H28&gt;0, ($L28+$M28) * H28 * ($K28 + IF(AND(REGEXMATCH($C28, $B28), REGEXMATCH($C28,Bow_Bonuses[[#HEADERS],[He]])), Bow_Bonuses[He],) ) / $K28, 0)"),0.0)</f>
        <v>0</v>
      </c>
      <c r="P28" s="133">
        <f>IFERROR(__xludf.DUMMYFUNCTION("IF(I28&gt;0, ($L28+$M28) * I28 * ($K28 + IF(AND(REGEXMATCH($C28, $B28), REGEXMATCH($C28,Bow_Bonuses[[#HEADERS],[Vo]])), Bow_Bonuses[Vo],) ) / $K28, 0)"),0.0)</f>
        <v>0</v>
      </c>
      <c r="Q28" s="134">
        <f>$K28 *E28 / Bow_Bonuses[Mag/Dmg]</f>
        <v>5.333333333</v>
      </c>
      <c r="R28" s="133">
        <f>IFERROR(__xludf.DUMMYFUNCTION("IF(G28&gt;0, ($L28+$Q28) * G28 * ($K28 + IF(AND(REGEXMATCH($C28, $B28), REGEXMATCH($C28,Bow_Bonuses[[#HEADERS],[Py]])), Bow_Bonuses[Py],) ) / $K28, 0)"),0.0)</f>
        <v>0</v>
      </c>
      <c r="S28" s="133">
        <f>IFERROR(__xludf.DUMMYFUNCTION("IF(H28&gt;0, ($L28+$Q28) * H28 * ($K28 + IF(AND(REGEXMATCH($C28, $B28), REGEXMATCH($C28,Bow_Bonuses[[#HEADERS],[He]])), Bow_Bonuses[He],) ) / $K28, 0)"),0.0)</f>
        <v>0</v>
      </c>
      <c r="T28" s="133">
        <f>IFERROR(__xludf.DUMMYFUNCTION("IF(I28&gt;0, ($L28+$Q28) * I28 * ($K28 + IF(AND(REGEXMATCH($C28, $B28), REGEXMATCH($C28,Bow_Bonuses[[#HEADERS],[Vo]])), Bow_Bonuses[Vo],) ) / $K28, 0)"),0.0)</f>
        <v>0</v>
      </c>
      <c r="U28" s="140">
        <f t="shared" si="2"/>
        <v>278.066087</v>
      </c>
      <c r="V28" s="204"/>
      <c r="W28" s="141" t="str">
        <f t="shared" si="3"/>
        <v/>
      </c>
      <c r="X28" s="207">
        <f>IFERROR(__xludf.DUMMYFUNCTION("Bow_Bonuses[Special
Mult] * ((L28 + Q28) * (K28 + IF(REGEXMATCH(C28, B28), If(REGEXMATCH(C28, Bow_Bonuses[[#HEADERS],[Py]]), Bow_Bonuses[Py], 0) + If(REGEXMATCH(C28, Bow_Bonuses[[#HEADERS],[He]]), Bow_Bonuses[He], 0) + If(REGEXMATCH(C28, Bow_Bonuses[[#HEA"&amp;"DERS],[Vo]]), Bow_Bonuses[Vo], 0), 0)) / K28 + SUM(R28:T28))"),562.8000000000001)</f>
        <v>562.8</v>
      </c>
      <c r="Y28" s="207"/>
      <c r="Z28" s="144" t="str">
        <f t="shared" si="4"/>
        <v/>
      </c>
    </row>
    <row r="29" ht="22.5" customHeight="1">
      <c r="A29" s="265" t="s">
        <v>111</v>
      </c>
      <c r="B29" s="36" t="s">
        <v>22</v>
      </c>
      <c r="C29" s="36" t="s">
        <v>106</v>
      </c>
      <c r="D29" s="210">
        <f>IFERROR(__xludf.DUMMYFUNCTION("200 + Scaling!$C$6 + Scaling!$C$15 + (INDEX(SPLIT($A29, "".""),3) + VLOOKUP(INDEX(SPLIT($A29, "".""),2), Rarity_Bonus_Levels_[[Identifier]:[Bonus Lvls]], 2) - 1) * (Scaling!$C$7 + Scaling!$C$16)"),2291.4)</f>
        <v>2291.4</v>
      </c>
      <c r="E29" s="210">
        <f t="shared" si="5"/>
        <v>200</v>
      </c>
      <c r="F29" s="220">
        <f>IFERROR(__xludf.DUMMYFUNCTION("Scaling!$C$4 + (INDEX(SPLIT($A29, "".""),3) + VLOOKUP(INDEX(SPLIT($A29, "".""),2), Rarity_Bonus_Levels_[[Identifier]:[Bonus Lvls]], 2) - 1) * (Scaling!$C$5)"),453.0)</f>
        <v>453</v>
      </c>
      <c r="G29" s="41">
        <v>0.08</v>
      </c>
      <c r="H29" s="41">
        <v>0.08</v>
      </c>
      <c r="I29" s="41">
        <v>0.08</v>
      </c>
      <c r="J29" s="186">
        <v>0.3</v>
      </c>
      <c r="K29" s="91">
        <f>IFERROR(__xludf.DUMMYFUNCTION("1 + J29 + IF(REGEXMATCH(C29, Bow_Bonuses[[#HEADERS],[Pe]]), Bow_Bonuses[Pe]) + IF(REGEXMATCH(C29, Bow_Bonuses[[#HEADERS],[Tr1]]), Bow_Bonuses[Tr1], 0) + IF(REGEXMATCH(C29, Bow_Bonuses[[#HEADERS],[Tr2]]), Bow_Bonuses[Tr2], 0)"),1.6)</f>
        <v>1.6</v>
      </c>
      <c r="L29" s="46">
        <f t="shared" si="1"/>
        <v>724.8</v>
      </c>
      <c r="M29" s="49">
        <f>$K29 * D29 / Bow_Bonuses[Stam/Dmg]</f>
        <v>79.70086957</v>
      </c>
      <c r="N29" s="46">
        <f>IFERROR(__xludf.DUMMYFUNCTION("IF(G29&gt;0, ($L29+$M29) * G29 * ($K29 + IF(AND(REGEXMATCH($C29, $B29), REGEXMATCH($C29,Bow_Bonuses[[#HEADERS],[Py]])), Bow_Bonuses[Py],) ) / $K29, 0)"),72.40507826086957)</f>
        <v>72.40507826</v>
      </c>
      <c r="O29" s="46">
        <f>IFERROR(__xludf.DUMMYFUNCTION("IF(H29&gt;0, ($L29+$M29) * H29 * ($K29 + IF(AND(REGEXMATCH($C29, $B29), REGEXMATCH($C29,Bow_Bonuses[[#HEADERS],[He]])), Bow_Bonuses[He],) ) / $K29, 0)"),64.3600695652174)</f>
        <v>64.36006957</v>
      </c>
      <c r="P29" s="46">
        <f>IFERROR(__xludf.DUMMYFUNCTION("IF(I29&gt;0, ($L29+$M29) * I29 * ($K29 + IF(AND(REGEXMATCH($C29, $B29), REGEXMATCH($C29,Bow_Bonuses[[#HEADERS],[Vo]])), Bow_Bonuses[Vo],) ) / $K29, 0)"),64.3600695652174)</f>
        <v>64.36006957</v>
      </c>
      <c r="Q29" s="49">
        <f>$K29 *E29 / Bow_Bonuses[Mag/Dmg]</f>
        <v>5.333333333</v>
      </c>
      <c r="R29" s="46">
        <f>IFERROR(__xludf.DUMMYFUNCTION("IF(G29&gt;0, ($L29+$Q29) * G29 * ($K29 + IF(AND(REGEXMATCH($C29, $B29), REGEXMATCH($C29,Bow_Bonuses[[#HEADERS],[Py]])), Bow_Bonuses[Py],) ) / $K29, 0)"),65.712)</f>
        <v>65.712</v>
      </c>
      <c r="S29" s="46">
        <f>IFERROR(__xludf.DUMMYFUNCTION("IF(H29&gt;0, ($L29+$Q29) * H29 * ($K29 + IF(AND(REGEXMATCH($C29, $B29), REGEXMATCH($C29,Bow_Bonuses[[#HEADERS],[He]])), Bow_Bonuses[He],) ) / $K29, 0)"),58.41066666666668)</f>
        <v>58.41066667</v>
      </c>
      <c r="T29" s="46">
        <f>IFERROR(__xludf.DUMMYFUNCTION("IF(I29&gt;0, ($L29+$Q29) * I29 * ($K29 + IF(AND(REGEXMATCH($C29, $B29), REGEXMATCH($C29,Bow_Bonuses[[#HEADERS],[Vo]])), Bow_Bonuses[Vo],) ) / $K29, 0)"),58.41066666666668)</f>
        <v>58.41066667</v>
      </c>
      <c r="U29" s="66">
        <f t="shared" si="2"/>
        <v>1005.626087</v>
      </c>
      <c r="V29" s="164"/>
      <c r="W29" s="70" t="str">
        <f t="shared" si="3"/>
        <v/>
      </c>
      <c r="X29" s="271">
        <f>IFERROR(__xludf.DUMMYFUNCTION("Bow_Bonuses[Special
Mult] * ((L29 + Q29) * (K29 + IF(REGEXMATCH(C29, B29), If(REGEXMATCH(C29, Bow_Bonuses[[#HEADERS],[Py]]), Bow_Bonuses[Py], 0) + If(REGEXMATCH(C29, Bow_Bonuses[[#HEADERS],[He]]), Bow_Bonuses[He], 0) + If(REGEXMATCH(C29, Bow_Bonuses[[#HEA"&amp;"DERS],[Vo]]), Bow_Bonuses[Vo], 0), 0)) / K29 + SUM(R29:T29))"),2007.8666666666668)</f>
        <v>2007.866667</v>
      </c>
      <c r="Y29" s="271"/>
      <c r="Z29" s="74" t="str">
        <f t="shared" si="4"/>
        <v/>
      </c>
    </row>
    <row r="30" ht="22.5" customHeight="1">
      <c r="A30" s="239" t="s">
        <v>111</v>
      </c>
      <c r="B30" s="169" t="s">
        <v>22</v>
      </c>
      <c r="C30" s="169" t="s">
        <v>106</v>
      </c>
      <c r="D30" s="243">
        <f>IFERROR(__xludf.DUMMYFUNCTION("200 + Scaling!$C$6 + Scaling!$C$15 + (INDEX(SPLIT($A30, "".""),3) + VLOOKUP(INDEX(SPLIT($A30, "".""),2), Rarity_Bonus_Levels_[[Identifier]:[Bonus Lvls]], 2) - 1) * (Scaling!$C$7 + Scaling!$C$16)"),2291.4)</f>
        <v>2291.4</v>
      </c>
      <c r="E30" s="243">
        <f t="shared" si="5"/>
        <v>200</v>
      </c>
      <c r="F30" s="246">
        <f>IFERROR(__xludf.DUMMYFUNCTION("Scaling!$C$4 + (INDEX(SPLIT($A30, "".""),3) + VLOOKUP(INDEX(SPLIT($A30, "".""),2), Rarity_Bonus_Levels_[[Identifier]:[Bonus Lvls]], 2) - 1) * (Scaling!$C$5)"),453.0)</f>
        <v>453</v>
      </c>
      <c r="G30" s="112">
        <v>0.2</v>
      </c>
      <c r="H30" s="175"/>
      <c r="I30" s="175"/>
      <c r="J30" s="177">
        <v>0.3</v>
      </c>
      <c r="K30" s="91">
        <f>IFERROR(__xludf.DUMMYFUNCTION("1 + J30 + IF(REGEXMATCH(C30, Bow_Bonuses[[#HEADERS],[Pe]]), Bow_Bonuses[Pe]) + IF(REGEXMATCH(C30, Bow_Bonuses[[#HEADERS],[Tr1]]), Bow_Bonuses[Tr1], 0) + IF(REGEXMATCH(C30, Bow_Bonuses[[#HEADERS],[Tr2]]), Bow_Bonuses[Tr2], 0)"),1.6)</f>
        <v>1.6</v>
      </c>
      <c r="L30" s="46">
        <f t="shared" si="1"/>
        <v>724.8</v>
      </c>
      <c r="M30" s="49">
        <f>$K30 * D30 / Bow_Bonuses[Stam/Dmg]</f>
        <v>79.70086957</v>
      </c>
      <c r="N30" s="46">
        <f>IFERROR(__xludf.DUMMYFUNCTION("IF(G30&gt;0, ($L30+$M30) * G30 * ($K30 + IF(AND(REGEXMATCH($C30, $B30), REGEXMATCH($C30,Bow_Bonuses[[#HEADERS],[Py]])), Bow_Bonuses[Py],) ) / $K30, 0)"),181.01269565217396)</f>
        <v>181.0126957</v>
      </c>
      <c r="O30" s="46">
        <f>IFERROR(__xludf.DUMMYFUNCTION("IF(H30&gt;0, ($L30+$M30) * H30 * ($K30 + IF(AND(REGEXMATCH($C30, $B30), REGEXMATCH($C30,Bow_Bonuses[[#HEADERS],[He]])), Bow_Bonuses[He],) ) / $K30, 0)"),0.0)</f>
        <v>0</v>
      </c>
      <c r="P30" s="46">
        <f>IFERROR(__xludf.DUMMYFUNCTION("IF(I30&gt;0, ($L30+$M30) * I30 * ($K30 + IF(AND(REGEXMATCH($C30, $B30), REGEXMATCH($C30,Bow_Bonuses[[#HEADERS],[Vo]])), Bow_Bonuses[Vo],) ) / $K30, 0)"),0.0)</f>
        <v>0</v>
      </c>
      <c r="Q30" s="49">
        <f>$K30 *E30 / Bow_Bonuses[Mag/Dmg]</f>
        <v>5.333333333</v>
      </c>
      <c r="R30" s="46">
        <f>IFERROR(__xludf.DUMMYFUNCTION("IF(G30&gt;0, ($L30+$Q30) * G30 * ($K30 + IF(AND(REGEXMATCH($C30, $B30), REGEXMATCH($C30,Bow_Bonuses[[#HEADERS],[Py]])), Bow_Bonuses[Py],) ) / $K30, 0)"),164.28000000000003)</f>
        <v>164.28</v>
      </c>
      <c r="S30" s="46">
        <f>IFERROR(__xludf.DUMMYFUNCTION("IF(H30&gt;0, ($L30+$Q30) * H30 * ($K30 + IF(AND(REGEXMATCH($C30, $B30), REGEXMATCH($C30,Bow_Bonuses[[#HEADERS],[He]])), Bow_Bonuses[He],) ) / $K30, 0)"),0.0)</f>
        <v>0</v>
      </c>
      <c r="T30" s="46">
        <f>IFERROR(__xludf.DUMMYFUNCTION("IF(I30&gt;0, ($L30+$Q30) * I30 * ($K30 + IF(AND(REGEXMATCH($C30, $B30), REGEXMATCH($C30,Bow_Bonuses[[#HEADERS],[Vo]])), Bow_Bonuses[Vo],) ) / $K30, 0)"),0.0)</f>
        <v>0</v>
      </c>
      <c r="U30" s="66">
        <f t="shared" si="2"/>
        <v>985.5135652</v>
      </c>
      <c r="V30" s="164"/>
      <c r="W30" s="70" t="str">
        <f t="shared" si="3"/>
        <v/>
      </c>
      <c r="X30" s="271">
        <f>IFERROR(__xludf.DUMMYFUNCTION("Bow_Bonuses[Special
Mult] * ((L30 + Q30) * (K30 + IF(REGEXMATCH(C30, B30), If(REGEXMATCH(C30, Bow_Bonuses[[#HEADERS],[Py]]), Bow_Bonuses[Py], 0) + If(REGEXMATCH(C30, Bow_Bonuses[[#HEADERS],[He]]), Bow_Bonuses[He], 0) + If(REGEXMATCH(C30, Bow_Bonuses[[#HEA"&amp;"DERS],[Vo]]), Bow_Bonuses[Vo], 0), 0)) / K30 + SUM(R30:T30))"),1971.3600000000001)</f>
        <v>1971.36</v>
      </c>
      <c r="Y30" s="271"/>
      <c r="Z30" s="74" t="str">
        <f t="shared" si="4"/>
        <v/>
      </c>
    </row>
    <row r="31" ht="22.5" customHeight="1">
      <c r="A31" s="265" t="s">
        <v>111</v>
      </c>
      <c r="B31" s="36" t="s">
        <v>22</v>
      </c>
      <c r="C31" s="36" t="s">
        <v>106</v>
      </c>
      <c r="D31" s="243">
        <f>IFERROR(__xludf.DUMMYFUNCTION("200 + Scaling!$C$6 + Scaling!$C$15 + (INDEX(SPLIT($A31, "".""),3) + VLOOKUP(INDEX(SPLIT($A31, "".""),2), Rarity_Bonus_Levels_[[Identifier]:[Bonus Lvls]], 2) - 1) * (Scaling!$C$7 + Scaling!$C$16)"),2291.4)</f>
        <v>2291.4</v>
      </c>
      <c r="E31" s="243">
        <f t="shared" si="5"/>
        <v>200</v>
      </c>
      <c r="F31" s="246">
        <f>IFERROR(__xludf.DUMMYFUNCTION("Scaling!$C$4 + (INDEX(SPLIT($A31, "".""),3) + VLOOKUP(INDEX(SPLIT($A31, "".""),2), Rarity_Bonus_Levels_[[Identifier]:[Bonus Lvls]], 2) - 1) * (Scaling!$C$5)"),453.0)</f>
        <v>453</v>
      </c>
      <c r="G31" s="184"/>
      <c r="H31" s="112">
        <v>0.2</v>
      </c>
      <c r="I31" s="184"/>
      <c r="J31" s="186">
        <v>0.3</v>
      </c>
      <c r="K31" s="91">
        <f>IFERROR(__xludf.DUMMYFUNCTION("1 + J31 + IF(REGEXMATCH(C31, Bow_Bonuses[[#HEADERS],[Pe]]), Bow_Bonuses[Pe]) + IF(REGEXMATCH(C31, Bow_Bonuses[[#HEADERS],[Tr1]]), Bow_Bonuses[Tr1], 0) + IF(REGEXMATCH(C31, Bow_Bonuses[[#HEADERS],[Tr2]]), Bow_Bonuses[Tr2], 0)"),1.6)</f>
        <v>1.6</v>
      </c>
      <c r="L31" s="46">
        <f t="shared" si="1"/>
        <v>724.8</v>
      </c>
      <c r="M31" s="49">
        <f>$K31 * D31 / Bow_Bonuses[Stam/Dmg]</f>
        <v>79.70086957</v>
      </c>
      <c r="N31" s="46">
        <f>IFERROR(__xludf.DUMMYFUNCTION("IF(G31&gt;0, ($L31+$M31) * G31 * ($K31 + IF(AND(REGEXMATCH($C31, $B31), REGEXMATCH($C31,Bow_Bonuses[[#HEADERS],[Py]])), Bow_Bonuses[Py],) ) / $K31, 0)"),0.0)</f>
        <v>0</v>
      </c>
      <c r="O31" s="46">
        <f>IFERROR(__xludf.DUMMYFUNCTION("IF(H31&gt;0, ($L31+$M31) * H31 * ($K31 + IF(AND(REGEXMATCH($C31, $B31), REGEXMATCH($C31,Bow_Bonuses[[#HEADERS],[He]])), Bow_Bonuses[He],) ) / $K31, 0)"),160.90017391304352)</f>
        <v>160.9001739</v>
      </c>
      <c r="P31" s="46">
        <f>IFERROR(__xludf.DUMMYFUNCTION("IF(I31&gt;0, ($L31+$M31) * I31 * ($K31 + IF(AND(REGEXMATCH($C31, $B31), REGEXMATCH($C31,Bow_Bonuses[[#HEADERS],[Vo]])), Bow_Bonuses[Vo],) ) / $K31, 0)"),0.0)</f>
        <v>0</v>
      </c>
      <c r="Q31" s="49">
        <f>$K31 *E31 / Bow_Bonuses[Mag/Dmg]</f>
        <v>5.333333333</v>
      </c>
      <c r="R31" s="46">
        <f>IFERROR(__xludf.DUMMYFUNCTION("IF(G31&gt;0, ($L31+$Q31) * G31 * ($K31 + IF(AND(REGEXMATCH($C31, $B31), REGEXMATCH($C31,Bow_Bonuses[[#HEADERS],[Py]])), Bow_Bonuses[Py],) ) / $K31, 0)"),0.0)</f>
        <v>0</v>
      </c>
      <c r="S31" s="46">
        <f>IFERROR(__xludf.DUMMYFUNCTION("IF(H31&gt;0, ($L31+$Q31) * H31 * ($K31 + IF(AND(REGEXMATCH($C31, $B31), REGEXMATCH($C31,Bow_Bonuses[[#HEADERS],[He]])), Bow_Bonuses[He],) ) / $K31, 0)"),146.0266666666667)</f>
        <v>146.0266667</v>
      </c>
      <c r="T31" s="46">
        <f>IFERROR(__xludf.DUMMYFUNCTION("IF(I31&gt;0, ($L31+$Q31) * I31 * ($K31 + IF(AND(REGEXMATCH($C31, $B31), REGEXMATCH($C31,Bow_Bonuses[[#HEADERS],[Vo]])), Bow_Bonuses[Vo],) ) / $K31, 0)"),0.0)</f>
        <v>0</v>
      </c>
      <c r="U31" s="66">
        <f t="shared" si="2"/>
        <v>965.4010435</v>
      </c>
      <c r="V31" s="164"/>
      <c r="W31" s="70" t="str">
        <f t="shared" si="3"/>
        <v/>
      </c>
      <c r="X31" s="271">
        <f>IFERROR(__xludf.DUMMYFUNCTION("Bow_Bonuses[Special
Mult] * ((L31 + Q31) * (K31 + IF(REGEXMATCH(C31, B31), If(REGEXMATCH(C31, Bow_Bonuses[[#HEADERS],[Py]]), Bow_Bonuses[Py], 0) + If(REGEXMATCH(C31, Bow_Bonuses[[#HEADERS],[He]]), Bow_Bonuses[He], 0) + If(REGEXMATCH(C31, Bow_Bonuses[[#HEA"&amp;"DERS],[Vo]]), Bow_Bonuses[Vo], 0), 0)) / K31 + SUM(R31:T31))"),1934.8533333333335)</f>
        <v>1934.853333</v>
      </c>
      <c r="Y31" s="271"/>
      <c r="Z31" s="74" t="str">
        <f t="shared" si="4"/>
        <v/>
      </c>
    </row>
    <row r="32" ht="22.5" customHeight="1">
      <c r="A32" s="275" t="s">
        <v>111</v>
      </c>
      <c r="B32" s="276" t="s">
        <v>22</v>
      </c>
      <c r="C32" s="276" t="s">
        <v>106</v>
      </c>
      <c r="D32" s="262">
        <f>IFERROR(__xludf.DUMMYFUNCTION("200 + Scaling!$C$6 + Scaling!$C$15 + (INDEX(SPLIT($A32, "".""),3) + VLOOKUP(INDEX(SPLIT($A32, "".""),2), Rarity_Bonus_Levels_[[Identifier]:[Bonus Lvls]], 2) - 1) * (Scaling!$C$7 + Scaling!$C$16)"),2291.4)</f>
        <v>2291.4</v>
      </c>
      <c r="E32" s="262">
        <f t="shared" si="5"/>
        <v>200</v>
      </c>
      <c r="F32" s="263">
        <f>IFERROR(__xludf.DUMMYFUNCTION("Scaling!$C$4 + (INDEX(SPLIT($A32, "".""),3) + VLOOKUP(INDEX(SPLIT($A32, "".""),2), Rarity_Bonus_Levels_[[Identifier]:[Bonus Lvls]], 2) - 1) * (Scaling!$C$5)"),453.0)</f>
        <v>453</v>
      </c>
      <c r="G32" s="277"/>
      <c r="H32" s="277"/>
      <c r="I32" s="277"/>
      <c r="J32" s="278">
        <v>0.3</v>
      </c>
      <c r="K32" s="91">
        <f>IFERROR(__xludf.DUMMYFUNCTION("1 + J32 + IF(REGEXMATCH(C32, Bow_Bonuses[[#HEADERS],[Pe]]), Bow_Bonuses[Pe]) + IF(REGEXMATCH(C32, Bow_Bonuses[[#HEADERS],[Tr1]]), Bow_Bonuses[Tr1], 0) + IF(REGEXMATCH(C32, Bow_Bonuses[[#HEADERS],[Tr2]]), Bow_Bonuses[Tr2], 0)"),1.6)</f>
        <v>1.6</v>
      </c>
      <c r="L32" s="46">
        <f t="shared" si="1"/>
        <v>724.8</v>
      </c>
      <c r="M32" s="49">
        <f>$K32 * D32 / Bow_Bonuses[Stam/Dmg]</f>
        <v>79.70086957</v>
      </c>
      <c r="N32" s="46">
        <f>IFERROR(__xludf.DUMMYFUNCTION("IF(G32&gt;0, ($L32+$M32) * G32 * ($K32 + IF(AND(REGEXMATCH($C32, $B32), REGEXMATCH($C32,Bow_Bonuses[[#HEADERS],[Py]])), Bow_Bonuses[Py],) ) / $K32, 0)"),0.0)</f>
        <v>0</v>
      </c>
      <c r="O32" s="46">
        <f>IFERROR(__xludf.DUMMYFUNCTION("IF(H32&gt;0, ($L32+$M32) * H32 * ($K32 + IF(AND(REGEXMATCH($C32, $B32), REGEXMATCH($C32,Bow_Bonuses[[#HEADERS],[He]])), Bow_Bonuses[He],) ) / $K32, 0)"),0.0)</f>
        <v>0</v>
      </c>
      <c r="P32" s="46">
        <f>IFERROR(__xludf.DUMMYFUNCTION("IF(I32&gt;0, ($L32+$M32) * I32 * ($K32 + IF(AND(REGEXMATCH($C32, $B32), REGEXMATCH($C32,Bow_Bonuses[[#HEADERS],[Vo]])), Bow_Bonuses[Vo],) ) / $K32, 0)"),0.0)</f>
        <v>0</v>
      </c>
      <c r="Q32" s="49">
        <f>$K32 *E32 / Bow_Bonuses[Mag/Dmg]</f>
        <v>5.333333333</v>
      </c>
      <c r="R32" s="46">
        <f>IFERROR(__xludf.DUMMYFUNCTION("IF(G32&gt;0, ($L32+$Q32) * G32 * ($K32 + IF(AND(REGEXMATCH($C32, $B32), REGEXMATCH($C32,Bow_Bonuses[[#HEADERS],[Py]])), Bow_Bonuses[Py],) ) / $K32, 0)"),0.0)</f>
        <v>0</v>
      </c>
      <c r="S32" s="46">
        <f>IFERROR(__xludf.DUMMYFUNCTION("IF(H32&gt;0, ($L32+$Q32) * H32 * ($K32 + IF(AND(REGEXMATCH($C32, $B32), REGEXMATCH($C32,Bow_Bonuses[[#HEADERS],[He]])), Bow_Bonuses[He],) ) / $K32, 0)"),0.0)</f>
        <v>0</v>
      </c>
      <c r="T32" s="46">
        <f>IFERROR(__xludf.DUMMYFUNCTION("IF(I32&gt;0, ($L32+$Q32) * I32 * ($K32 + IF(AND(REGEXMATCH($C32, $B32), REGEXMATCH($C32,Bow_Bonuses[[#HEADERS],[Vo]])), Bow_Bonuses[Vo],) ) / $K32, 0)"),0.0)</f>
        <v>0</v>
      </c>
      <c r="U32" s="66">
        <f t="shared" si="2"/>
        <v>804.5008696</v>
      </c>
      <c r="V32" s="164"/>
      <c r="W32" s="70" t="str">
        <f t="shared" si="3"/>
        <v/>
      </c>
      <c r="X32" s="271">
        <f>IFERROR(__xludf.DUMMYFUNCTION("Bow_Bonuses[Special
Mult] * ((L32 + Q32) * (K32 + IF(REGEXMATCH(C32, B32), If(REGEXMATCH(C32, Bow_Bonuses[[#HEADERS],[Py]]), Bow_Bonuses[Py], 0) + If(REGEXMATCH(C32, Bow_Bonuses[[#HEADERS],[He]]), Bow_Bonuses[He], 0) + If(REGEXMATCH(C32, Bow_Bonuses[[#HEA"&amp;"DERS],[Vo]]), Bow_Bonuses[Vo], 0), 0)) / K32 + SUM(R32:T32))"),1642.8000000000002)</f>
        <v>1642.8</v>
      </c>
      <c r="Y32" s="271"/>
      <c r="Z32" s="74" t="str">
        <f t="shared" si="4"/>
        <v/>
      </c>
    </row>
    <row r="33">
      <c r="J33" s="7"/>
      <c r="K33" s="7"/>
      <c r="L33" s="7"/>
      <c r="M33" s="7"/>
    </row>
    <row r="34">
      <c r="J34" s="7"/>
      <c r="K34" s="7"/>
      <c r="L34" s="7"/>
      <c r="M34" s="7"/>
    </row>
    <row r="35">
      <c r="J35" s="7"/>
      <c r="K35" s="7"/>
      <c r="L35" s="7"/>
      <c r="M35" s="7"/>
    </row>
    <row r="36">
      <c r="J36" s="7"/>
      <c r="K36" s="7"/>
      <c r="L36" s="7"/>
      <c r="M36" s="7"/>
    </row>
  </sheetData>
  <mergeCells count="8">
    <mergeCell ref="D1:F1"/>
    <mergeCell ref="G1:I1"/>
    <mergeCell ref="A5:J5"/>
    <mergeCell ref="K5:L5"/>
    <mergeCell ref="M5:P5"/>
    <mergeCell ref="Q5:T5"/>
    <mergeCell ref="U5:W5"/>
    <mergeCell ref="X5:Z5"/>
  </mergeCells>
  <conditionalFormatting sqref="W7:W32">
    <cfRule type="colorScale" priority="1">
      <colorScale>
        <cfvo type="formula" val="0"/>
        <cfvo type="formula" val="0.015"/>
        <cfvo type="formula" val="0.03"/>
        <color rgb="FF57BB8A"/>
        <color rgb="FFFFD666"/>
        <color rgb="FFE67C73"/>
      </colorScale>
    </cfRule>
  </conditionalFormatting>
  <conditionalFormatting sqref="Z7:Z32">
    <cfRule type="colorScale" priority="2">
      <colorScale>
        <cfvo type="formula" val="0"/>
        <cfvo type="formula" val="0.015"/>
        <cfvo type="formula" val="0.03"/>
        <color rgb="FF57BB8A"/>
        <color rgb="FFFFD666"/>
        <color rgb="FFE67C73"/>
      </colorScale>
    </cfRule>
  </conditionalFormatting>
  <conditionalFormatting sqref="A1:Z36">
    <cfRule type="cellIs" dxfId="7" priority="3" operator="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1.13"/>
    <col customWidth="1" min="2" max="22" width="10.63"/>
    <col customWidth="1" min="23" max="23" width="11.13"/>
    <col customWidth="1" min="24" max="26" width="10.63"/>
  </cols>
  <sheetData>
    <row r="1">
      <c r="B1" s="3"/>
      <c r="D1" s="3" t="s">
        <v>1</v>
      </c>
      <c r="H1" s="3" t="s">
        <v>3</v>
      </c>
      <c r="K1" s="7"/>
      <c r="L1" s="7"/>
      <c r="M1" s="7"/>
    </row>
    <row r="2" ht="22.5" customHeight="1">
      <c r="A2" s="13" t="s">
        <v>10</v>
      </c>
      <c r="B2" s="13" t="s">
        <v>7</v>
      </c>
      <c r="C2" s="9" t="s">
        <v>13</v>
      </c>
      <c r="D2" s="14" t="s">
        <v>56</v>
      </c>
      <c r="E2" s="26" t="s">
        <v>58</v>
      </c>
      <c r="F2" s="9" t="s">
        <v>18</v>
      </c>
      <c r="G2" s="9" t="s">
        <v>20</v>
      </c>
      <c r="H2" s="14" t="s">
        <v>22</v>
      </c>
      <c r="I2" s="9" t="s">
        <v>23</v>
      </c>
      <c r="J2" s="9" t="s">
        <v>25</v>
      </c>
      <c r="M2" s="7"/>
      <c r="N2" s="7"/>
      <c r="O2" s="7"/>
      <c r="P2" s="7"/>
    </row>
    <row r="3" ht="22.5" customHeight="1">
      <c r="A3" s="16">
        <v>44.0</v>
      </c>
      <c r="B3" s="16">
        <v>55.0</v>
      </c>
      <c r="C3" s="16">
        <v>0.7</v>
      </c>
      <c r="D3" s="17">
        <v>0.1</v>
      </c>
      <c r="E3" s="32">
        <v>0.2</v>
      </c>
      <c r="F3" s="15">
        <v>0.1</v>
      </c>
      <c r="G3" s="15">
        <v>0.2</v>
      </c>
      <c r="H3" s="17">
        <v>0.2</v>
      </c>
      <c r="I3" s="15">
        <v>0.2</v>
      </c>
      <c r="J3" s="16">
        <v>0.2</v>
      </c>
      <c r="M3" s="7"/>
      <c r="N3" s="7"/>
      <c r="O3" s="7"/>
      <c r="P3" s="7"/>
    </row>
    <row r="4">
      <c r="J4" s="7"/>
      <c r="K4" s="7"/>
      <c r="L4" s="7"/>
      <c r="M4" s="7"/>
    </row>
    <row r="5">
      <c r="A5" s="19" t="s">
        <v>27</v>
      </c>
      <c r="K5" s="20" t="s">
        <v>28</v>
      </c>
      <c r="M5" s="20" t="s">
        <v>35</v>
      </c>
      <c r="Q5" s="20" t="s">
        <v>37</v>
      </c>
      <c r="U5" s="20" t="s">
        <v>29</v>
      </c>
      <c r="X5" s="20" t="s">
        <v>30</v>
      </c>
    </row>
    <row r="6" ht="22.5" customHeight="1">
      <c r="A6" s="9" t="s">
        <v>40</v>
      </c>
      <c r="B6" s="21" t="s">
        <v>33</v>
      </c>
      <c r="C6" s="21" t="s">
        <v>34</v>
      </c>
      <c r="D6" s="9" t="s">
        <v>45</v>
      </c>
      <c r="E6" s="9" t="s">
        <v>36</v>
      </c>
      <c r="F6" s="9" t="s">
        <v>38</v>
      </c>
      <c r="G6" s="22" t="s">
        <v>39</v>
      </c>
      <c r="H6" s="22" t="s">
        <v>41</v>
      </c>
      <c r="I6" s="22" t="s">
        <v>42</v>
      </c>
      <c r="J6" s="23" t="s">
        <v>43</v>
      </c>
      <c r="K6" s="24" t="s">
        <v>46</v>
      </c>
      <c r="L6" s="9" t="s">
        <v>48</v>
      </c>
      <c r="M6" s="24" t="s">
        <v>61</v>
      </c>
      <c r="N6" s="9" t="s">
        <v>50</v>
      </c>
      <c r="O6" s="9" t="s">
        <v>51</v>
      </c>
      <c r="P6" s="25" t="s">
        <v>52</v>
      </c>
      <c r="Q6" s="14" t="s">
        <v>47</v>
      </c>
      <c r="R6" s="9" t="s">
        <v>66</v>
      </c>
      <c r="S6" s="9" t="s">
        <v>67</v>
      </c>
      <c r="T6" s="9" t="s">
        <v>68</v>
      </c>
      <c r="U6" s="14" t="s">
        <v>53</v>
      </c>
      <c r="V6" s="9" t="s">
        <v>54</v>
      </c>
      <c r="W6" s="25" t="s">
        <v>57</v>
      </c>
      <c r="X6" s="14" t="s">
        <v>59</v>
      </c>
      <c r="Y6" s="9" t="s">
        <v>60</v>
      </c>
      <c r="Z6" s="9" t="s">
        <v>62</v>
      </c>
    </row>
    <row r="7" ht="22.5" customHeight="1">
      <c r="A7" s="47" t="s">
        <v>79</v>
      </c>
      <c r="B7" s="50" t="s">
        <v>23</v>
      </c>
      <c r="C7" s="50" t="s">
        <v>25</v>
      </c>
      <c r="D7" s="53">
        <v>532.0</v>
      </c>
      <c r="E7" s="55">
        <v>216.0</v>
      </c>
      <c r="F7" s="56">
        <v>155.0</v>
      </c>
      <c r="G7" s="57">
        <v>0.08</v>
      </c>
      <c r="H7" s="57">
        <v>0.08</v>
      </c>
      <c r="I7" s="57">
        <v>0.08</v>
      </c>
      <c r="J7" s="58">
        <v>0.0</v>
      </c>
      <c r="K7" s="43">
        <f>IFERROR(__xludf.DUMMYFUNCTION("1 + J7 + IF(REGEXMATCH(C7, Axe_Bonuses[[#HEADERS],[Mi]]), Axe_Bonuses[Mi])  + IF(REGEXMATCH(C7, Axe_Bonuses[[#HEADERS],[Re]]), Axe_Bonuses[Re], 0) + IF(REGEXMATCH(C7, Axe_Bonuses[[#HEADERS],[Tr1]]), Axe_Bonuses[Tr1], 0) + IF(REGEXMATCH(C7, Axe_Bonuses[[#H"&amp;"EADERS],[Tr2]]), Axe_Bonuses[Tr2], 0)"),1.0)</f>
        <v>1</v>
      </c>
      <c r="L7" s="44">
        <f t="shared" ref="L7:L32" si="1">F7 * K7</f>
        <v>155</v>
      </c>
      <c r="M7" s="68">
        <f>$K7 *D7 / Axe_Bonuses[Stam/Dmg]</f>
        <v>12.09090909</v>
      </c>
      <c r="N7" s="44">
        <f>IFERROR(__xludf.DUMMYFUNCTION("IF(G7&gt;0, ($L7+$M7) * G7 * ($K7 + IF(AND(REGEXMATCH($C7, $B7), REGEXMATCH($C7,Axe_Bonuses[[#HEADERS],[Py]])), Axe_Bonuses[Py],) ) / $K7, 0)"),13.367272727272727)</f>
        <v>13.36727273</v>
      </c>
      <c r="O7" s="44">
        <f>IFERROR(__xludf.DUMMYFUNCTION("IF(H7&gt;0, ($L7+$M7) * H7 * ($K7 + IF(AND(REGEXMATCH($C7, $B7), REGEXMATCH($C7,Axe_Bonuses[[#HEADERS],[He]])), Axe_Bonuses[He],) ) / $K7, 0)"),13.367272727272727)</f>
        <v>13.36727273</v>
      </c>
      <c r="P7" s="44">
        <f>IFERROR(__xludf.DUMMYFUNCTION("IF(I7&gt;0, ($L7+$M7) * I7 * ($K7 + IF(AND(REGEXMATCH($C7, $B7), REGEXMATCH($C7,Axe_Bonuses[[#HEADERS],[Vo]])), Axe_Bonuses[Vo],) ) / $K7, 0)"),13.367272727272727)</f>
        <v>13.36727273</v>
      </c>
      <c r="Q7" s="68">
        <f>$K7 *E7 / Axe_Bonuses[Mag/Dmg]</f>
        <v>3.927272727</v>
      </c>
      <c r="R7" s="44">
        <f>IFERROR(__xludf.DUMMYFUNCTION("IF(G7&gt;0, ($L7+$Q7) * G7 * ($K7 + IF(AND(REGEXMATCH($C7, $B7), REGEXMATCH($C7,Axe_Bonuses[[#HEADERS],[Py]])), Axe_Bonuses[Py],) ) / $K7, 0)"),12.71418181818182)</f>
        <v>12.71418182</v>
      </c>
      <c r="S7" s="44">
        <f>IFERROR(__xludf.DUMMYFUNCTION("IF(H7&gt;0, ($L7+$Q7) * H7 * ($K7 + IF(AND(REGEXMATCH($C7, $B7), REGEXMATCH($C7,Axe_Bonuses[[#HEADERS],[He]])), Axe_Bonuses[He],) ) / $K7, 0)"),12.71418181818182)</f>
        <v>12.71418182</v>
      </c>
      <c r="T7" s="44">
        <f>IFERROR(__xludf.DUMMYFUNCTION("IF(I7&gt;0, ($L7+$Q7) * I7 * ($K7 + IF(AND(REGEXMATCH($C7, $B7), REGEXMATCH($C7,Axe_Bonuses[[#HEADERS],[Vo]])), Axe_Bonuses[Vo],) ) / $K7, 0)"),12.71418181818182)</f>
        <v>12.71418182</v>
      </c>
      <c r="U7" s="64">
        <f t="shared" ref="U7:U32" si="2">SUM(L7:P7)</f>
        <v>207.1927273</v>
      </c>
      <c r="V7" s="79">
        <v>208.0</v>
      </c>
      <c r="W7" s="69">
        <f t="shared" ref="W7:W32" si="3">IF(AND(U7&gt;0,V7&gt;0), ABS(V7-U7)/V7, )</f>
        <v>0.003881118881</v>
      </c>
      <c r="X7" s="71">
        <f>IFERROR(__xludf.DUMMYFUNCTION("Axe_Bonuses[Special
Mult] * ((L7 + Q7) * (K7 + IF(REGEXMATCH(C7, B7), If(REGEXMATCH(C7, Axe_Bonuses[[#HEADERS],[Py]]), Axe_Bonuses[Py], 0) + If(REGEXMATCH(C7, Axe_Bonuses[[#HEADERS],[He]]), Axe_Bonuses[He], 0) + If(REGEXMATCH(C7, Axe_Bonuses[[#HEADERS],[V"&amp;"o]]), Axe_Bonuses[Vo], 0), 0)) / K7 + SUM(R7:T7))"),137.94887272727271)</f>
        <v>137.9488727</v>
      </c>
      <c r="Y7" s="55">
        <v>138.0</v>
      </c>
      <c r="Z7" s="72">
        <f t="shared" ref="Z7:Z32" si="4">IF(AND(X7&gt;0,Y7&gt;0), ABS(Y7-X7)/Y7, )</f>
        <v>0.0003704874835</v>
      </c>
    </row>
    <row r="8" ht="22.5" customHeight="1">
      <c r="A8" s="47" t="s">
        <v>79</v>
      </c>
      <c r="B8" s="50" t="s">
        <v>23</v>
      </c>
      <c r="C8" s="81" t="s">
        <v>25</v>
      </c>
      <c r="D8" s="83">
        <v>532.0</v>
      </c>
      <c r="E8" s="55">
        <v>640.0</v>
      </c>
      <c r="F8" s="56">
        <v>155.0</v>
      </c>
      <c r="G8" s="57">
        <v>0.08</v>
      </c>
      <c r="H8" s="57">
        <v>0.08</v>
      </c>
      <c r="I8" s="57">
        <v>0.08</v>
      </c>
      <c r="J8" s="58">
        <v>0.0</v>
      </c>
      <c r="K8" s="43">
        <f>IFERROR(__xludf.DUMMYFUNCTION("1 + J8 + IF(REGEXMATCH(C8, Axe_Bonuses[[#HEADERS],[Mi]]), Axe_Bonuses[Mi])  + IF(REGEXMATCH(C8, Axe_Bonuses[[#HEADERS],[Re]]), Axe_Bonuses[Re], 0) + IF(REGEXMATCH(C8, Axe_Bonuses[[#HEADERS],[Tr1]]), Axe_Bonuses[Tr1], 0) + IF(REGEXMATCH(C8, Axe_Bonuses[[#H"&amp;"EADERS],[Tr2]]), Axe_Bonuses[Tr2], 0)"),1.0)</f>
        <v>1</v>
      </c>
      <c r="L8" s="44">
        <f t="shared" si="1"/>
        <v>155</v>
      </c>
      <c r="M8" s="68">
        <f>$K8 *D8 / Axe_Bonuses[Stam/Dmg]</f>
        <v>12.09090909</v>
      </c>
      <c r="N8" s="44">
        <f>IFERROR(__xludf.DUMMYFUNCTION("IF(G8&gt;0, ($L8+$M8) * G8 * ($K8 + IF(AND(REGEXMATCH($C8, $B8), REGEXMATCH($C8,Axe_Bonuses[[#HEADERS],[Py]])), Axe_Bonuses[Py],) ) / $K8, 0)"),13.367272727272727)</f>
        <v>13.36727273</v>
      </c>
      <c r="O8" s="44">
        <f>IFERROR(__xludf.DUMMYFUNCTION("IF(H8&gt;0, ($L8+$M8) * H8 * ($K8 + IF(AND(REGEXMATCH($C8, $B8), REGEXMATCH($C8,Axe_Bonuses[[#HEADERS],[He]])), Axe_Bonuses[He],) ) / $K8, 0)"),13.367272727272727)</f>
        <v>13.36727273</v>
      </c>
      <c r="P8" s="44">
        <f>IFERROR(__xludf.DUMMYFUNCTION("IF(I8&gt;0, ($L8+$M8) * I8 * ($K8 + IF(AND(REGEXMATCH($C8, $B8), REGEXMATCH($C8,Axe_Bonuses[[#HEADERS],[Vo]])), Axe_Bonuses[Vo],) ) / $K8, 0)"),13.367272727272727)</f>
        <v>13.36727273</v>
      </c>
      <c r="Q8" s="68">
        <f>$K8 *E8 / Axe_Bonuses[Mag/Dmg]</f>
        <v>11.63636364</v>
      </c>
      <c r="R8" s="44">
        <f>IFERROR(__xludf.DUMMYFUNCTION("IF(G8&gt;0, ($L8+$Q8) * G8 * ($K8 + IF(AND(REGEXMATCH($C8, $B8), REGEXMATCH($C8,Axe_Bonuses[[#HEADERS],[Py]])), Axe_Bonuses[Py],) ) / $K8, 0)"),13.33090909090909)</f>
        <v>13.33090909</v>
      </c>
      <c r="S8" s="44">
        <f>IFERROR(__xludf.DUMMYFUNCTION("IF(H8&gt;0, ($L8+$Q8) * H8 * ($K8 + IF(AND(REGEXMATCH($C8, $B8), REGEXMATCH($C8,Axe_Bonuses[[#HEADERS],[He]])), Axe_Bonuses[He],) ) / $K8, 0)"),13.33090909090909)</f>
        <v>13.33090909</v>
      </c>
      <c r="T8" s="44">
        <f>IFERROR(__xludf.DUMMYFUNCTION("IF(I8&gt;0, ($L8+$Q8) * I8 * ($K8 + IF(AND(REGEXMATCH($C8, $B8), REGEXMATCH($C8,Axe_Bonuses[[#HEADERS],[Vo]])), Axe_Bonuses[Vo],) ) / $K8, 0)"),13.33090909090909)</f>
        <v>13.33090909</v>
      </c>
      <c r="U8" s="64">
        <f t="shared" si="2"/>
        <v>207.1927273</v>
      </c>
      <c r="V8" s="29">
        <v>208.0</v>
      </c>
      <c r="W8" s="69">
        <f t="shared" si="3"/>
        <v>0.003881118881</v>
      </c>
      <c r="X8" s="71">
        <f>IFERROR(__xludf.DUMMYFUNCTION("Axe_Bonuses[Special
Mult] * ((L8 + Q8) * (K8 + IF(REGEXMATCH(C8, B8), If(REGEXMATCH(C8, Axe_Bonuses[[#HEADERS],[Py]]), Axe_Bonuses[Py], 0) + If(REGEXMATCH(C8, Axe_Bonuses[[#HEADERS],[He]]), Axe_Bonuses[He], 0) + If(REGEXMATCH(C8, Axe_Bonuses[[#HEADERS],[V"&amp;"o]]), Axe_Bonuses[Vo], 0), 0)) / K8 + SUM(R8:T8))"),144.64036363636362)</f>
        <v>144.6403636</v>
      </c>
      <c r="Y8" s="55">
        <v>145.0</v>
      </c>
      <c r="Z8" s="72">
        <f t="shared" si="4"/>
        <v>0.002480250784</v>
      </c>
    </row>
    <row r="9" ht="22.5" customHeight="1">
      <c r="A9" s="47" t="s">
        <v>79</v>
      </c>
      <c r="B9" s="50" t="s">
        <v>23</v>
      </c>
      <c r="C9" s="81" t="s">
        <v>25</v>
      </c>
      <c r="D9" s="83">
        <v>850.0</v>
      </c>
      <c r="E9" s="55">
        <v>216.0</v>
      </c>
      <c r="F9" s="56">
        <v>155.0</v>
      </c>
      <c r="G9" s="57">
        <v>0.08</v>
      </c>
      <c r="H9" s="57">
        <v>0.08</v>
      </c>
      <c r="I9" s="57">
        <v>0.08</v>
      </c>
      <c r="J9" s="58">
        <v>0.3</v>
      </c>
      <c r="K9" s="90">
        <f>IFERROR(__xludf.DUMMYFUNCTION("1 + J9 + IF(REGEXMATCH(C9, Axe_Bonuses[[#HEADERS],[Mi]]), Axe_Bonuses[Mi])  + IF(REGEXMATCH(C9, Axe_Bonuses[[#HEADERS],[Re]]), Axe_Bonuses[Re], 0) + IF(REGEXMATCH(C9, Axe_Bonuses[[#HEADERS],[Tr1]]), Axe_Bonuses[Tr1], 0) + IF(REGEXMATCH(C9, Axe_Bonuses[[#H"&amp;"EADERS],[Tr2]]), Axe_Bonuses[Tr2], 0)"),1.3)</f>
        <v>1.3</v>
      </c>
      <c r="L9" s="44">
        <f t="shared" si="1"/>
        <v>201.5</v>
      </c>
      <c r="M9" s="68">
        <f>$K9 *D9 / Axe_Bonuses[Stam/Dmg]</f>
        <v>25.11363636</v>
      </c>
      <c r="N9" s="44">
        <f>IFERROR(__xludf.DUMMYFUNCTION("IF(G9&gt;0, ($L9+$M9) * G9 * ($K9 + IF(AND(REGEXMATCH($C9, $B9), REGEXMATCH($C9,Axe_Bonuses[[#HEADERS],[Py]])), Axe_Bonuses[Py],) ) / $K9, 0)"),18.12909090909091)</f>
        <v>18.12909091</v>
      </c>
      <c r="O9" s="44">
        <f>IFERROR(__xludf.DUMMYFUNCTION("IF(H9&gt;0, ($L9+$M9) * H9 * ($K9 + IF(AND(REGEXMATCH($C9, $B9), REGEXMATCH($C9,Axe_Bonuses[[#HEADERS],[He]])), Axe_Bonuses[He],) ) / $K9, 0)"),18.12909090909091)</f>
        <v>18.12909091</v>
      </c>
      <c r="P9" s="44">
        <f>IFERROR(__xludf.DUMMYFUNCTION("IF(I9&gt;0, ($L9+$M9) * I9 * ($K9 + IF(AND(REGEXMATCH($C9, $B9), REGEXMATCH($C9,Axe_Bonuses[[#HEADERS],[Vo]])), Axe_Bonuses[Vo],) ) / $K9, 0)"),18.12909090909091)</f>
        <v>18.12909091</v>
      </c>
      <c r="Q9" s="68">
        <f>$K9 *E9 / Axe_Bonuses[Mag/Dmg]</f>
        <v>5.105454545</v>
      </c>
      <c r="R9" s="44">
        <f>IFERROR(__xludf.DUMMYFUNCTION("IF(G9&gt;0, ($L9+$Q9) * G9 * ($K9 + IF(AND(REGEXMATCH($C9, $B9), REGEXMATCH($C9,Axe_Bonuses[[#HEADERS],[Py]])), Axe_Bonuses[Py],) ) / $K9, 0)"),16.528436363636363)</f>
        <v>16.52843636</v>
      </c>
      <c r="S9" s="44">
        <f>IFERROR(__xludf.DUMMYFUNCTION("IF(H9&gt;0, ($L9+$Q9) * H9 * ($K9 + IF(AND(REGEXMATCH($C9, $B9), REGEXMATCH($C9,Axe_Bonuses[[#HEADERS],[He]])), Axe_Bonuses[He],) ) / $K9, 0)"),16.528436363636363)</f>
        <v>16.52843636</v>
      </c>
      <c r="T9" s="44">
        <f>IFERROR(__xludf.DUMMYFUNCTION("IF(I9&gt;0, ($L9+$Q9) * I9 * ($K9 + IF(AND(REGEXMATCH($C9, $B9), REGEXMATCH($C9,Axe_Bonuses[[#HEADERS],[Vo]])), Axe_Bonuses[Vo],) ) / $K9, 0)"),16.528436363636363)</f>
        <v>16.52843636</v>
      </c>
      <c r="U9" s="64">
        <f t="shared" si="2"/>
        <v>281.0009091</v>
      </c>
      <c r="V9" s="79">
        <v>281.0</v>
      </c>
      <c r="W9" s="69">
        <f t="shared" si="3"/>
        <v>0.000003235198965</v>
      </c>
      <c r="X9" s="93">
        <f>IFERROR(__xludf.DUMMYFUNCTION("Axe_Bonuses[Special
Mult] * ((L9 + Q9) * (K9 + IF(REGEXMATCH(C9, B9), If(REGEXMATCH(C9, Axe_Bonuses[[#HEADERS],[Py]]), Axe_Bonuses[Py], 0) + If(REGEXMATCH(C9, Axe_Bonuses[[#HEADERS],[He]]), Axe_Bonuses[He], 0) + If(REGEXMATCH(C9, Axe_Bonuses[[#HEADERS],[V"&amp;"o]]), Axe_Bonuses[Vo], 0), 0)) / K9 + SUM(R9:T9))"),179.33353454545457)</f>
        <v>179.3335345</v>
      </c>
      <c r="Y9" s="55">
        <v>180.0</v>
      </c>
      <c r="Z9" s="72">
        <f t="shared" si="4"/>
        <v>0.003702585859</v>
      </c>
    </row>
    <row r="10" ht="22.5" customHeight="1">
      <c r="A10" s="47" t="s">
        <v>95</v>
      </c>
      <c r="B10" s="50" t="s">
        <v>23</v>
      </c>
      <c r="C10" s="81" t="s">
        <v>25</v>
      </c>
      <c r="D10" s="83">
        <v>682.0</v>
      </c>
      <c r="E10" s="55">
        <v>216.0</v>
      </c>
      <c r="F10" s="56">
        <v>95.0</v>
      </c>
      <c r="G10" s="57">
        <v>0.2</v>
      </c>
      <c r="H10" s="57">
        <v>0.0</v>
      </c>
      <c r="I10" s="57">
        <v>0.0</v>
      </c>
      <c r="J10" s="96">
        <v>0.3</v>
      </c>
      <c r="K10" s="90">
        <f>IFERROR(__xludf.DUMMYFUNCTION("1 + J10 + IF(REGEXMATCH(C10, Axe_Bonuses[[#HEADERS],[Mi]]), Axe_Bonuses[Mi])  + IF(REGEXMATCH(C10, Axe_Bonuses[[#HEADERS],[Re]]), Axe_Bonuses[Re], 0) + IF(REGEXMATCH(C10, Axe_Bonuses[[#HEADERS],[Tr1]]), Axe_Bonuses[Tr1], 0) + IF(REGEXMATCH(C10, Axe_Bonuse"&amp;"s[[#HEADERS],[Tr2]]), Axe_Bonuses[Tr2], 0)"),1.3)</f>
        <v>1.3</v>
      </c>
      <c r="L10" s="44">
        <f t="shared" si="1"/>
        <v>123.5</v>
      </c>
      <c r="M10" s="68">
        <f>$K10 *D10 / Axe_Bonuses[Stam/Dmg]</f>
        <v>20.15</v>
      </c>
      <c r="N10" s="44">
        <f>IFERROR(__xludf.DUMMYFUNCTION("IF(G10&gt;0, ($L10+$M10) * G10 * ($K10 + IF(AND(REGEXMATCH($C10, $B10), REGEXMATCH($C10,Axe_Bonuses[[#HEADERS],[Py]])), Axe_Bonuses[Py],) ) / $K10, 0)"),28.73)</f>
        <v>28.73</v>
      </c>
      <c r="O10" s="44">
        <f>IFERROR(__xludf.DUMMYFUNCTION("IF(H10&gt;0, ($L10+$M10) * H10 * ($K10 + IF(AND(REGEXMATCH($C10, $B10), REGEXMATCH($C10,Axe_Bonuses[[#HEADERS],[He]])), Axe_Bonuses[He],) ) / $K10, 0)"),0.0)</f>
        <v>0</v>
      </c>
      <c r="P10" s="44">
        <f>IFERROR(__xludf.DUMMYFUNCTION("IF(I10&gt;0, ($L10+$M10) * I10 * ($K10 + IF(AND(REGEXMATCH($C10, $B10), REGEXMATCH($C10,Axe_Bonuses[[#HEADERS],[Vo]])), Axe_Bonuses[Vo],) ) / $K10, 0)"),0.0)</f>
        <v>0</v>
      </c>
      <c r="Q10" s="68">
        <f>$K10 *E10 / Axe_Bonuses[Mag/Dmg]</f>
        <v>5.105454545</v>
      </c>
      <c r="R10" s="44">
        <f>IFERROR(__xludf.DUMMYFUNCTION("IF(G10&gt;0, ($L10+$Q10) * G10 * ($K10 + IF(AND(REGEXMATCH($C10, $B10), REGEXMATCH($C10,Axe_Bonuses[[#HEADERS],[Py]])), Axe_Bonuses[Py],) ) / $K10, 0)"),25.721090909090908)</f>
        <v>25.72109091</v>
      </c>
      <c r="S10" s="44">
        <f>IFERROR(__xludf.DUMMYFUNCTION("IF(H10&gt;0, ($L10+$Q10) * H10 * ($K10 + IF(AND(REGEXMATCH($C10, $B10), REGEXMATCH($C10,Axe_Bonuses[[#HEADERS],[He]])), Axe_Bonuses[He],) ) / $K10, 0)"),0.0)</f>
        <v>0</v>
      </c>
      <c r="T10" s="44">
        <f>IFERROR(__xludf.DUMMYFUNCTION("IF(I10&gt;0, ($L10+$Q10) * I10 * ($K10 + IF(AND(REGEXMATCH($C10, $B10), REGEXMATCH($C10,Axe_Bonuses[[#HEADERS],[Vo]])), Axe_Bonuses[Vo],) ) / $K10, 0)"),0.0)</f>
        <v>0</v>
      </c>
      <c r="U10" s="64">
        <f t="shared" si="2"/>
        <v>172.38</v>
      </c>
      <c r="V10" s="29">
        <v>173.0</v>
      </c>
      <c r="W10" s="69">
        <f t="shared" si="3"/>
        <v>0.003583815029</v>
      </c>
      <c r="X10" s="93">
        <f>IFERROR(__xludf.DUMMYFUNCTION("Axe_Bonuses[Special
Mult] * ((L10 + Q10) * (K10 + IF(REGEXMATCH(C10, B10), If(REGEXMATCH(C10, Axe_Bonuses[[#HEADERS],[Py]]), Axe_Bonuses[Py], 0) + If(REGEXMATCH(C10, Axe_Bonuses[[#HEADERS],[He]]), Axe_Bonuses[He], 0) + If(REGEXMATCH(C10, Axe_Bonuses[[#HEA"&amp;"DERS],[Vo]]), Axe_Bonuses[Vo], 0), 0)) / K10 + SUM(R10:T10))"),108.0285818181818)</f>
        <v>108.0285818</v>
      </c>
      <c r="Y10" s="55">
        <v>108.0</v>
      </c>
      <c r="Z10" s="72">
        <f t="shared" si="4"/>
        <v>0.0002646464646</v>
      </c>
    </row>
    <row r="11" ht="22.5" customHeight="1">
      <c r="A11" s="47" t="s">
        <v>95</v>
      </c>
      <c r="B11" s="50" t="s">
        <v>23</v>
      </c>
      <c r="C11" s="81" t="s">
        <v>25</v>
      </c>
      <c r="D11" s="83">
        <v>682.0</v>
      </c>
      <c r="E11" s="55">
        <v>216.0</v>
      </c>
      <c r="F11" s="56">
        <v>95.0</v>
      </c>
      <c r="G11" s="57">
        <v>0.0</v>
      </c>
      <c r="H11" s="57">
        <v>0.0</v>
      </c>
      <c r="I11" s="57">
        <v>0.2</v>
      </c>
      <c r="J11" s="96">
        <v>0.3</v>
      </c>
      <c r="K11" s="90">
        <f>IFERROR(__xludf.DUMMYFUNCTION("1 + J11 + IF(REGEXMATCH(C11, Axe_Bonuses[[#HEADERS],[Mi]]), Axe_Bonuses[Mi])  + IF(REGEXMATCH(C11, Axe_Bonuses[[#HEADERS],[Re]]), Axe_Bonuses[Re], 0) + IF(REGEXMATCH(C11, Axe_Bonuses[[#HEADERS],[Tr1]]), Axe_Bonuses[Tr1], 0) + IF(REGEXMATCH(C11, Axe_Bonuse"&amp;"s[[#HEADERS],[Tr2]]), Axe_Bonuses[Tr2], 0)"),1.3)</f>
        <v>1.3</v>
      </c>
      <c r="L11" s="44">
        <f t="shared" si="1"/>
        <v>123.5</v>
      </c>
      <c r="M11" s="68">
        <f>$K11 *D11 / Axe_Bonuses[Stam/Dmg]</f>
        <v>20.15</v>
      </c>
      <c r="N11" s="44">
        <f>IFERROR(__xludf.DUMMYFUNCTION("IF(G11&gt;0, ($L11+$M11) * G11 * ($K11 + IF(AND(REGEXMATCH($C11, $B11), REGEXMATCH($C11,Axe_Bonuses[[#HEADERS],[Py]])), Axe_Bonuses[Py],) ) / $K11, 0)"),0.0)</f>
        <v>0</v>
      </c>
      <c r="O11" s="44">
        <f>IFERROR(__xludf.DUMMYFUNCTION("IF(H11&gt;0, ($L11+$M11) * H11 * ($K11 + IF(AND(REGEXMATCH($C11, $B11), REGEXMATCH($C11,Axe_Bonuses[[#HEADERS],[He]])), Axe_Bonuses[He],) ) / $K11, 0)"),0.0)</f>
        <v>0</v>
      </c>
      <c r="P11" s="44">
        <f>IFERROR(__xludf.DUMMYFUNCTION("IF(I11&gt;0, ($L11+$M11) * I11 * ($K11 + IF(AND(REGEXMATCH($C11, $B11), REGEXMATCH($C11,Axe_Bonuses[[#HEADERS],[Vo]])), Axe_Bonuses[Vo],) ) / $K11, 0)"),28.73)</f>
        <v>28.73</v>
      </c>
      <c r="Q11" s="68">
        <f>$K11 *E11 / Axe_Bonuses[Mag/Dmg]</f>
        <v>5.105454545</v>
      </c>
      <c r="R11" s="44">
        <f>IFERROR(__xludf.DUMMYFUNCTION("IF(G11&gt;0, ($L11+$Q11) * G11 * ($K11 + IF(AND(REGEXMATCH($C11, $B11), REGEXMATCH($C11,Axe_Bonuses[[#HEADERS],[Py]])), Axe_Bonuses[Py],) ) / $K11, 0)"),0.0)</f>
        <v>0</v>
      </c>
      <c r="S11" s="44">
        <f>IFERROR(__xludf.DUMMYFUNCTION("IF(H11&gt;0, ($L11+$Q11) * H11 * ($K11 + IF(AND(REGEXMATCH($C11, $B11), REGEXMATCH($C11,Axe_Bonuses[[#HEADERS],[He]])), Axe_Bonuses[He],) ) / $K11, 0)"),0.0)</f>
        <v>0</v>
      </c>
      <c r="T11" s="44">
        <f>IFERROR(__xludf.DUMMYFUNCTION("IF(I11&gt;0, ($L11+$Q11) * I11 * ($K11 + IF(AND(REGEXMATCH($C11, $B11), REGEXMATCH($C11,Axe_Bonuses[[#HEADERS],[Vo]])), Axe_Bonuses[Vo],) ) / $K11, 0)"),25.721090909090908)</f>
        <v>25.72109091</v>
      </c>
      <c r="U11" s="64">
        <f t="shared" si="2"/>
        <v>172.38</v>
      </c>
      <c r="V11" s="29">
        <v>173.0</v>
      </c>
      <c r="W11" s="69">
        <f t="shared" si="3"/>
        <v>0.003583815029</v>
      </c>
      <c r="X11" s="93">
        <f>IFERROR(__xludf.DUMMYFUNCTION("Axe_Bonuses[Special
Mult] * ((L11 + Q11) * (K11 + IF(REGEXMATCH(C11, B11), If(REGEXMATCH(C11, Axe_Bonuses[[#HEADERS],[Py]]), Axe_Bonuses[Py], 0) + If(REGEXMATCH(C11, Axe_Bonuses[[#HEADERS],[He]]), Axe_Bonuses[He], 0) + If(REGEXMATCH(C11, Axe_Bonuses[[#HEA"&amp;"DERS],[Vo]]), Axe_Bonuses[Vo], 0), 0)) / K11 + SUM(R11:T11))"),108.0285818181818)</f>
        <v>108.0285818</v>
      </c>
      <c r="Y11" s="55">
        <v>108.0</v>
      </c>
      <c r="Z11" s="72">
        <f t="shared" si="4"/>
        <v>0.0002646464646</v>
      </c>
    </row>
    <row r="12" ht="22.5" customHeight="1">
      <c r="A12" s="47" t="s">
        <v>95</v>
      </c>
      <c r="B12" s="50" t="s">
        <v>23</v>
      </c>
      <c r="C12" s="81" t="s">
        <v>25</v>
      </c>
      <c r="D12" s="83">
        <v>682.0</v>
      </c>
      <c r="E12" s="55">
        <v>216.0</v>
      </c>
      <c r="F12" s="56">
        <v>95.0</v>
      </c>
      <c r="G12" s="57">
        <v>0.0</v>
      </c>
      <c r="H12" s="57">
        <v>0.0</v>
      </c>
      <c r="I12" s="57">
        <v>0.0</v>
      </c>
      <c r="J12" s="96">
        <v>0.3</v>
      </c>
      <c r="K12" s="43">
        <f>IFERROR(__xludf.DUMMYFUNCTION("1 + J12 + IF(REGEXMATCH(C12, Axe_Bonuses[[#HEADERS],[Mi]]), Axe_Bonuses[Mi])  + IF(REGEXMATCH(C12, Axe_Bonuses[[#HEADERS],[Re]]), Axe_Bonuses[Re], 0) + IF(REGEXMATCH(C12, Axe_Bonuses[[#HEADERS],[Tr1]]), Axe_Bonuses[Tr1], 0) + IF(REGEXMATCH(C12, Axe_Bonuse"&amp;"s[[#HEADERS],[Tr2]]), Axe_Bonuses[Tr2], 0)"),1.3)</f>
        <v>1.3</v>
      </c>
      <c r="L12" s="44">
        <f t="shared" si="1"/>
        <v>123.5</v>
      </c>
      <c r="M12" s="68">
        <f>$K12 *D12 / Axe_Bonuses[Stam/Dmg]</f>
        <v>20.15</v>
      </c>
      <c r="N12" s="44">
        <f>IFERROR(__xludf.DUMMYFUNCTION("IF(G12&gt;0, ($L12+$M12) * G12 * ($K12 + IF(AND(REGEXMATCH($C12, $B12), REGEXMATCH($C12,Axe_Bonuses[[#HEADERS],[Py]])), Axe_Bonuses[Py],) ) / $K12, 0)"),0.0)</f>
        <v>0</v>
      </c>
      <c r="O12" s="44">
        <f>IFERROR(__xludf.DUMMYFUNCTION("IF(H12&gt;0, ($L12+$M12) * H12 * ($K12 + IF(AND(REGEXMATCH($C12, $B12), REGEXMATCH($C12,Axe_Bonuses[[#HEADERS],[He]])), Axe_Bonuses[He],) ) / $K12, 0)"),0.0)</f>
        <v>0</v>
      </c>
      <c r="P12" s="44">
        <f>IFERROR(__xludf.DUMMYFUNCTION("IF(I12&gt;0, ($L12+$M12) * I12 * ($K12 + IF(AND(REGEXMATCH($C12, $B12), REGEXMATCH($C12,Axe_Bonuses[[#HEADERS],[Vo]])), Axe_Bonuses[Vo],) ) / $K12, 0)"),0.0)</f>
        <v>0</v>
      </c>
      <c r="Q12" s="68">
        <f>$K12 *E12 / Axe_Bonuses[Mag/Dmg]</f>
        <v>5.105454545</v>
      </c>
      <c r="R12" s="44">
        <f>IFERROR(__xludf.DUMMYFUNCTION("IF(G12&gt;0, ($L12+$Q12) * G12 * ($K12 + IF(AND(REGEXMATCH($C12, $B12), REGEXMATCH($C12,Axe_Bonuses[[#HEADERS],[Py]])), Axe_Bonuses[Py],) ) / $K12, 0)"),0.0)</f>
        <v>0</v>
      </c>
      <c r="S12" s="44">
        <f>IFERROR(__xludf.DUMMYFUNCTION("IF(H12&gt;0, ($L12+$Q12) * H12 * ($K12 + IF(AND(REGEXMATCH($C12, $B12), REGEXMATCH($C12,Axe_Bonuses[[#HEADERS],[He]])), Axe_Bonuses[He],) ) / $K12, 0)"),0.0)</f>
        <v>0</v>
      </c>
      <c r="T12" s="44">
        <f>IFERROR(__xludf.DUMMYFUNCTION("IF(I12&gt;0, ($L12+$Q12) * I12 * ($K12 + IF(AND(REGEXMATCH($C12, $B12), REGEXMATCH($C12,Axe_Bonuses[[#HEADERS],[Vo]])), Axe_Bonuses[Vo],) ) / $K12, 0)"),0.0)</f>
        <v>0</v>
      </c>
      <c r="U12" s="64">
        <f t="shared" si="2"/>
        <v>143.65</v>
      </c>
      <c r="V12" s="105">
        <v>144.0</v>
      </c>
      <c r="W12" s="69">
        <f t="shared" si="3"/>
        <v>0.002430555556</v>
      </c>
      <c r="X12" s="71">
        <f>IFERROR(__xludf.DUMMYFUNCTION("Axe_Bonuses[Special
Mult] * ((L12 + Q12) * (K12 + IF(REGEXMATCH(C12, B12), If(REGEXMATCH(C12, Axe_Bonuses[[#HEADERS],[Py]]), Axe_Bonuses[Py], 0) + If(REGEXMATCH(C12, Axe_Bonuses[[#HEADERS],[He]]), Axe_Bonuses[He], 0) + If(REGEXMATCH(C12, Axe_Bonuses[[#HEA"&amp;"DERS],[Vo]]), Axe_Bonuses[Vo], 0), 0)) / K12 + SUM(R12:T12))"),90.02381818181817)</f>
        <v>90.02381818</v>
      </c>
      <c r="Y12" s="55">
        <v>90.0</v>
      </c>
      <c r="Z12" s="72">
        <f t="shared" si="4"/>
        <v>0.0002646464646</v>
      </c>
    </row>
    <row r="13" ht="22.5" customHeight="1">
      <c r="A13" s="47" t="s">
        <v>79</v>
      </c>
      <c r="B13" s="50" t="s">
        <v>23</v>
      </c>
      <c r="C13" s="81" t="s">
        <v>100</v>
      </c>
      <c r="D13" s="53">
        <v>520.0</v>
      </c>
      <c r="E13" s="55">
        <v>226.0</v>
      </c>
      <c r="F13" s="56">
        <v>155.0</v>
      </c>
      <c r="G13" s="57">
        <v>0.08</v>
      </c>
      <c r="H13" s="57">
        <v>0.08</v>
      </c>
      <c r="I13" s="57">
        <v>0.08</v>
      </c>
      <c r="J13" s="58">
        <v>0.0</v>
      </c>
      <c r="K13" s="43">
        <f>IFERROR(__xludf.DUMMYFUNCTION("1 + J13 + IF(REGEXMATCH(C13, Axe_Bonuses[[#HEADERS],[Mi]]), Axe_Bonuses[Mi])  + IF(REGEXMATCH(C13, Axe_Bonuses[[#HEADERS],[Re]]), Axe_Bonuses[Re], 0) + IF(REGEXMATCH(C13, Axe_Bonuses[[#HEADERS],[Tr1]]), Axe_Bonuses[Tr1], 0) + IF(REGEXMATCH(C13, Axe_Bonuse"&amp;"s[[#HEADERS],[Tr2]]), Axe_Bonuses[Tr2], 0)"),1.2)</f>
        <v>1.2</v>
      </c>
      <c r="L13" s="44">
        <f t="shared" si="1"/>
        <v>186</v>
      </c>
      <c r="M13" s="68">
        <f>$K13 *D13 / Axe_Bonuses[Stam/Dmg]</f>
        <v>14.18181818</v>
      </c>
      <c r="N13" s="44">
        <f>IFERROR(__xludf.DUMMYFUNCTION("IF(G13&gt;0, ($L13+$M13) * G13 * ($K13 + IF(AND(REGEXMATCH($C13, $B13), REGEXMATCH($C13,Axe_Bonuses[[#HEADERS],[Py]])), Axe_Bonuses[Py],) ) / $K13, 0)"),16.014545454545456)</f>
        <v>16.01454545</v>
      </c>
      <c r="O13" s="44">
        <f>IFERROR(__xludf.DUMMYFUNCTION("IF(H13&gt;0, ($L13+$M13) * H13 * ($K13 + IF(AND(REGEXMATCH($C13, $B13), REGEXMATCH($C13,Axe_Bonuses[[#HEADERS],[He]])), Axe_Bonuses[He],) ) / $K13, 0)"),18.683636363636364)</f>
        <v>18.68363636</v>
      </c>
      <c r="P13" s="44">
        <f>IFERROR(__xludf.DUMMYFUNCTION("IF(I13&gt;0, ($L13+$M13) * I13 * ($K13 + IF(AND(REGEXMATCH($C13, $B13), REGEXMATCH($C13,Axe_Bonuses[[#HEADERS],[Vo]])), Axe_Bonuses[Vo],) ) / $K13, 0)"),16.014545454545456)</f>
        <v>16.01454545</v>
      </c>
      <c r="Q13" s="68">
        <f>$K13 *E13 / Axe_Bonuses[Mag/Dmg]</f>
        <v>4.930909091</v>
      </c>
      <c r="R13" s="44">
        <f>IFERROR(__xludf.DUMMYFUNCTION("IF(G13&gt;0, ($L13+$Q13) * G13 * ($K13 + IF(AND(REGEXMATCH($C13, $B13), REGEXMATCH($C13,Axe_Bonuses[[#HEADERS],[Py]])), Axe_Bonuses[Py],) ) / $K13, 0)"),15.27447272727273)</f>
        <v>15.27447273</v>
      </c>
      <c r="S13" s="44">
        <f>IFERROR(__xludf.DUMMYFUNCTION("IF(H13&gt;0, ($L13+$Q13) * H13 * ($K13 + IF(AND(REGEXMATCH($C13, $B13), REGEXMATCH($C13,Axe_Bonuses[[#HEADERS],[He]])), Axe_Bonuses[He],) ) / $K13, 0)"),17.820218181818184)</f>
        <v>17.82021818</v>
      </c>
      <c r="T13" s="44">
        <f>IFERROR(__xludf.DUMMYFUNCTION("IF(I13&gt;0, ($L13+$Q13) * I13 * ($K13 + IF(AND(REGEXMATCH($C13, $B13), REGEXMATCH($C13,Axe_Bonuses[[#HEADERS],[Vo]])), Axe_Bonuses[Vo],) ) / $K13, 0)"),15.27447272727273)</f>
        <v>15.27447273</v>
      </c>
      <c r="U13" s="64">
        <f t="shared" si="2"/>
        <v>250.8945455</v>
      </c>
      <c r="V13" s="105">
        <v>251.0</v>
      </c>
      <c r="W13" s="69">
        <f t="shared" si="3"/>
        <v>0.0004201376313</v>
      </c>
      <c r="X13" s="71">
        <f>IFERROR(__xludf.DUMMYFUNCTION("Axe_Bonuses[Special
Mult] * ((L13 + Q13) * (K13 + IF(REGEXMATCH(C13, B13), If(REGEXMATCH(C13, Axe_Bonuses[[#HEADERS],[Py]]), Axe_Bonuses[Py], 0) + If(REGEXMATCH(C13, Axe_Bonuses[[#HEADERS],[He]]), Axe_Bonuses[He], 0) + If(REGEXMATCH(C13, Axe_Bonuses[[#HEA"&amp;"DERS],[Vo]]), Axe_Bonuses[Vo], 0), 0)) / K13 + SUM(R13:T13))"),189.78532363636361)</f>
        <v>189.7853236</v>
      </c>
      <c r="Y13" s="55">
        <v>190.0</v>
      </c>
      <c r="Z13" s="72">
        <f t="shared" si="4"/>
        <v>0.001129875598</v>
      </c>
    </row>
    <row r="14" ht="22.5" customHeight="1">
      <c r="A14" s="47" t="s">
        <v>79</v>
      </c>
      <c r="B14" s="50" t="s">
        <v>23</v>
      </c>
      <c r="C14" s="81" t="s">
        <v>100</v>
      </c>
      <c r="D14" s="53">
        <v>520.0</v>
      </c>
      <c r="E14" s="55">
        <v>650.0</v>
      </c>
      <c r="F14" s="56">
        <v>155.0</v>
      </c>
      <c r="G14" s="57">
        <v>0.08</v>
      </c>
      <c r="H14" s="57">
        <v>0.08</v>
      </c>
      <c r="I14" s="57">
        <v>0.08</v>
      </c>
      <c r="J14" s="58">
        <v>0.0</v>
      </c>
      <c r="K14" s="43">
        <f>IFERROR(__xludf.DUMMYFUNCTION("1 + J14 + IF(REGEXMATCH(C14, Axe_Bonuses[[#HEADERS],[Mi]]), Axe_Bonuses[Mi])  + IF(REGEXMATCH(C14, Axe_Bonuses[[#HEADERS],[Re]]), Axe_Bonuses[Re], 0) + IF(REGEXMATCH(C14, Axe_Bonuses[[#HEADERS],[Tr1]]), Axe_Bonuses[Tr1], 0) + IF(REGEXMATCH(C14, Axe_Bonuse"&amp;"s[[#HEADERS],[Tr2]]), Axe_Bonuses[Tr2], 0)"),1.2)</f>
        <v>1.2</v>
      </c>
      <c r="L14" s="44">
        <f t="shared" si="1"/>
        <v>186</v>
      </c>
      <c r="M14" s="68">
        <f>$K14 *D14 / Axe_Bonuses[Stam/Dmg]</f>
        <v>14.18181818</v>
      </c>
      <c r="N14" s="44">
        <f>IFERROR(__xludf.DUMMYFUNCTION("IF(G14&gt;0, ($L14+$M14) * G14 * ($K14 + IF(AND(REGEXMATCH($C14, $B14), REGEXMATCH($C14,Axe_Bonuses[[#HEADERS],[Py]])), Axe_Bonuses[Py],) ) / $K14, 0)"),16.014545454545456)</f>
        <v>16.01454545</v>
      </c>
      <c r="O14" s="44">
        <f>IFERROR(__xludf.DUMMYFUNCTION("IF(H14&gt;0, ($L14+$M14) * H14 * ($K14 + IF(AND(REGEXMATCH($C14, $B14), REGEXMATCH($C14,Axe_Bonuses[[#HEADERS],[He]])), Axe_Bonuses[He],) ) / $K14, 0)"),18.683636363636364)</f>
        <v>18.68363636</v>
      </c>
      <c r="P14" s="44">
        <f>IFERROR(__xludf.DUMMYFUNCTION("IF(I14&gt;0, ($L14+$M14) * I14 * ($K14 + IF(AND(REGEXMATCH($C14, $B14), REGEXMATCH($C14,Axe_Bonuses[[#HEADERS],[Vo]])), Axe_Bonuses[Vo],) ) / $K14, 0)"),16.014545454545456)</f>
        <v>16.01454545</v>
      </c>
      <c r="Q14" s="68">
        <f>$K14 *E14 / Axe_Bonuses[Mag/Dmg]</f>
        <v>14.18181818</v>
      </c>
      <c r="R14" s="44">
        <f>IFERROR(__xludf.DUMMYFUNCTION("IF(G14&gt;0, ($L14+$Q14) * G14 * ($K14 + IF(AND(REGEXMATCH($C14, $B14), REGEXMATCH($C14,Axe_Bonuses[[#HEADERS],[Py]])), Axe_Bonuses[Py],) ) / $K14, 0)"),16.014545454545456)</f>
        <v>16.01454545</v>
      </c>
      <c r="S14" s="44">
        <f>IFERROR(__xludf.DUMMYFUNCTION("IF(H14&gt;0, ($L14+$Q14) * H14 * ($K14 + IF(AND(REGEXMATCH($C14, $B14), REGEXMATCH($C14,Axe_Bonuses[[#HEADERS],[He]])), Axe_Bonuses[He],) ) / $K14, 0)"),18.683636363636364)</f>
        <v>18.68363636</v>
      </c>
      <c r="T14" s="44">
        <f>IFERROR(__xludf.DUMMYFUNCTION("IF(I14&gt;0, ($L14+$Q14) * I14 * ($K14 + IF(AND(REGEXMATCH($C14, $B14), REGEXMATCH($C14,Axe_Bonuses[[#HEADERS],[Vo]])), Axe_Bonuses[Vo],) ) / $K14, 0)"),16.014545454545456)</f>
        <v>16.01454545</v>
      </c>
      <c r="U14" s="64">
        <f t="shared" si="2"/>
        <v>250.8945455</v>
      </c>
      <c r="V14" s="29">
        <v>251.0</v>
      </c>
      <c r="W14" s="69">
        <f t="shared" si="3"/>
        <v>0.0004201376313</v>
      </c>
      <c r="X14" s="71">
        <f>IFERROR(__xludf.DUMMYFUNCTION("Axe_Bonuses[Special
Mult] * ((L14 + Q14) * (K14 + IF(REGEXMATCH(C14, B14), If(REGEXMATCH(C14, Axe_Bonuses[[#HEADERS],[Py]]), Axe_Bonuses[Py], 0) + If(REGEXMATCH(C14, Axe_Bonuses[[#HEADERS],[He]]), Axe_Bonuses[He], 0) + If(REGEXMATCH(C14, Axe_Bonuses[[#HEA"&amp;"DERS],[Vo]]), Axe_Bonuses[Vo], 0), 0)) / K14 + SUM(R14:T14))"),198.98072727272725)</f>
        <v>198.9807273</v>
      </c>
      <c r="Y14" s="55">
        <v>199.0</v>
      </c>
      <c r="Z14" s="72">
        <f t="shared" si="4"/>
        <v>0.00009684787574</v>
      </c>
    </row>
    <row r="15" ht="22.5" customHeight="1">
      <c r="A15" s="47" t="s">
        <v>79</v>
      </c>
      <c r="B15" s="50" t="s">
        <v>23</v>
      </c>
      <c r="C15" s="81" t="s">
        <v>100</v>
      </c>
      <c r="D15" s="53">
        <v>838.0</v>
      </c>
      <c r="E15" s="55">
        <v>226.0</v>
      </c>
      <c r="F15" s="56">
        <v>155.0</v>
      </c>
      <c r="G15" s="57">
        <v>0.08</v>
      </c>
      <c r="H15" s="57">
        <v>0.08</v>
      </c>
      <c r="I15" s="57">
        <v>0.08</v>
      </c>
      <c r="J15" s="58">
        <v>0.3</v>
      </c>
      <c r="K15" s="43">
        <f>IFERROR(__xludf.DUMMYFUNCTION("1 + J15 + IF(REGEXMATCH(C15, Axe_Bonuses[[#HEADERS],[Mi]]), Axe_Bonuses[Mi])  + IF(REGEXMATCH(C15, Axe_Bonuses[[#HEADERS],[Re]]), Axe_Bonuses[Re], 0) + IF(REGEXMATCH(C15, Axe_Bonuses[[#HEADERS],[Tr1]]), Axe_Bonuses[Tr1], 0) + IF(REGEXMATCH(C15, Axe_Bonuse"&amp;"s[[#HEADERS],[Tr2]]), Axe_Bonuses[Tr2], 0)"),1.5)</f>
        <v>1.5</v>
      </c>
      <c r="L15" s="44">
        <f t="shared" si="1"/>
        <v>232.5</v>
      </c>
      <c r="M15" s="68">
        <f>$K15 *D15 / Axe_Bonuses[Stam/Dmg]</f>
        <v>28.56818182</v>
      </c>
      <c r="N15" s="44">
        <f>IFERROR(__xludf.DUMMYFUNCTION("IF(G15&gt;0, ($L15+$M15) * G15 * ($K15 + IF(AND(REGEXMATCH($C15, $B15), REGEXMATCH($C15,Axe_Bonuses[[#HEADERS],[Py]])), Axe_Bonuses[Py],) ) / $K15, 0)"),20.885454545454547)</f>
        <v>20.88545455</v>
      </c>
      <c r="O15" s="44">
        <f>IFERROR(__xludf.DUMMYFUNCTION("IF(H15&gt;0, ($L15+$M15) * H15 * ($K15 + IF(AND(REGEXMATCH($C15, $B15), REGEXMATCH($C15,Axe_Bonuses[[#HEADERS],[He]])), Axe_Bonuses[He],) ) / $K15, 0)"),23.670181818181817)</f>
        <v>23.67018182</v>
      </c>
      <c r="P15" s="44">
        <f>IFERROR(__xludf.DUMMYFUNCTION("IF(I15&gt;0, ($L15+$M15) * I15 * ($K15 + IF(AND(REGEXMATCH($C15, $B15), REGEXMATCH($C15,Axe_Bonuses[[#HEADERS],[Vo]])), Axe_Bonuses[Vo],) ) / $K15, 0)"),20.885454545454547)</f>
        <v>20.88545455</v>
      </c>
      <c r="Q15" s="68">
        <f>$K15 *E15 / Axe_Bonuses[Mag/Dmg]</f>
        <v>6.163636364</v>
      </c>
      <c r="R15" s="44">
        <f>IFERROR(__xludf.DUMMYFUNCTION("IF(G15&gt;0, ($L15+$Q15) * G15 * ($K15 + IF(AND(REGEXMATCH($C15, $B15), REGEXMATCH($C15,Axe_Bonuses[[#HEADERS],[Py]])), Axe_Bonuses[Py],) ) / $K15, 0)"),19.093090909090908)</f>
        <v>19.09309091</v>
      </c>
      <c r="S15" s="44">
        <f>IFERROR(__xludf.DUMMYFUNCTION("IF(H15&gt;0, ($L15+$Q15) * H15 * ($K15 + IF(AND(REGEXMATCH($C15, $B15), REGEXMATCH($C15,Axe_Bonuses[[#HEADERS],[He]])), Axe_Bonuses[He],) ) / $K15, 0)"),21.63883636363636)</f>
        <v>21.63883636</v>
      </c>
      <c r="T15" s="44">
        <f>IFERROR(__xludf.DUMMYFUNCTION("IF(I15&gt;0, ($L15+$Q15) * I15 * ($K15 + IF(AND(REGEXMATCH($C15, $B15), REGEXMATCH($C15,Axe_Bonuses[[#HEADERS],[Vo]])), Axe_Bonuses[Vo],) ) / $K15, 0)"),19.093090909090908)</f>
        <v>19.09309091</v>
      </c>
      <c r="U15" s="64">
        <f t="shared" si="2"/>
        <v>326.5092727</v>
      </c>
      <c r="V15" s="79">
        <v>327.0</v>
      </c>
      <c r="W15" s="69">
        <f t="shared" si="3"/>
        <v>0.001500695024</v>
      </c>
      <c r="X15" s="71">
        <f>IFERROR(__xludf.DUMMYFUNCTION("Axe_Bonuses[Special
Mult] * ((L15 + Q15) * (K15 + IF(REGEXMATCH(C15, B15), If(REGEXMATCH(C15, Axe_Bonuses[[#HEADERS],[Py]]), Axe_Bonuses[Py], 0) + If(REGEXMATCH(C15, Axe_Bonuses[[#HEADERS],[He]]), Axe_Bonuses[He], 0) + If(REGEXMATCH(C15, Axe_Bonuses[[#HEA"&amp;"DERS],[Vo]]), Axe_Bonuses[Vo], 0), 0)) / K15 + SUM(R15:T15))"),231.21733090909086)</f>
        <v>231.2173309</v>
      </c>
      <c r="Y15" s="55">
        <v>232.0</v>
      </c>
      <c r="Z15" s="72">
        <f t="shared" si="4"/>
        <v>0.003373573668</v>
      </c>
    </row>
    <row r="16" ht="22.5" customHeight="1">
      <c r="A16" s="47" t="s">
        <v>95</v>
      </c>
      <c r="B16" s="50" t="s">
        <v>23</v>
      </c>
      <c r="C16" s="81" t="s">
        <v>100</v>
      </c>
      <c r="D16" s="53">
        <v>670.0</v>
      </c>
      <c r="E16" s="55">
        <v>226.0</v>
      </c>
      <c r="F16" s="56">
        <v>95.0</v>
      </c>
      <c r="G16" s="57">
        <v>0.0</v>
      </c>
      <c r="H16" s="57">
        <v>0.2</v>
      </c>
      <c r="I16" s="57">
        <v>0.0</v>
      </c>
      <c r="J16" s="96">
        <v>0.3</v>
      </c>
      <c r="K16" s="43">
        <f>IFERROR(__xludf.DUMMYFUNCTION("1 + J16 + IF(REGEXMATCH(C16, Axe_Bonuses[[#HEADERS],[Mi]]), Axe_Bonuses[Mi])  + IF(REGEXMATCH(C16, Axe_Bonuses[[#HEADERS],[Re]]), Axe_Bonuses[Re], 0) + IF(REGEXMATCH(C16, Axe_Bonuses[[#HEADERS],[Tr1]]), Axe_Bonuses[Tr1], 0) + IF(REGEXMATCH(C16, Axe_Bonuse"&amp;"s[[#HEADERS],[Tr2]]), Axe_Bonuses[Tr2], 0)"),1.5)</f>
        <v>1.5</v>
      </c>
      <c r="L16" s="44">
        <f t="shared" si="1"/>
        <v>142.5</v>
      </c>
      <c r="M16" s="68">
        <f>$K16 *D16 / Axe_Bonuses[Stam/Dmg]</f>
        <v>22.84090909</v>
      </c>
      <c r="N16" s="44">
        <f>IFERROR(__xludf.DUMMYFUNCTION("IF(G16&gt;0, ($L16+$M16) * G16 * ($K16 + IF(AND(REGEXMATCH($C16, $B16), REGEXMATCH($C16,Axe_Bonuses[[#HEADERS],[Py]])), Axe_Bonuses[Py],) ) / $K16, 0)"),0.0)</f>
        <v>0</v>
      </c>
      <c r="O16" s="44">
        <f>IFERROR(__xludf.DUMMYFUNCTION("IF(H16&gt;0, ($L16+$M16) * H16 * ($K16 + IF(AND(REGEXMATCH($C16, $B16), REGEXMATCH($C16,Axe_Bonuses[[#HEADERS],[He]])), Axe_Bonuses[He],) ) / $K16, 0)"),37.47727272727273)</f>
        <v>37.47727273</v>
      </c>
      <c r="P16" s="44">
        <f>IFERROR(__xludf.DUMMYFUNCTION("IF(I16&gt;0, ($L16+$M16) * I16 * ($K16 + IF(AND(REGEXMATCH($C16, $B16), REGEXMATCH($C16,Axe_Bonuses[[#HEADERS],[Vo]])), Axe_Bonuses[Vo],) ) / $K16, 0)"),0.0)</f>
        <v>0</v>
      </c>
      <c r="Q16" s="68">
        <f>$K16 *E16 / Axe_Bonuses[Mag/Dmg]</f>
        <v>6.163636364</v>
      </c>
      <c r="R16" s="44">
        <f>IFERROR(__xludf.DUMMYFUNCTION("IF(G16&gt;0, ($L16+$Q16) * G16 * ($K16 + IF(AND(REGEXMATCH($C16, $B16), REGEXMATCH($C16,Axe_Bonuses[[#HEADERS],[Py]])), Axe_Bonuses[Py],) ) / $K16, 0)"),0.0)</f>
        <v>0</v>
      </c>
      <c r="S16" s="44">
        <f>IFERROR(__xludf.DUMMYFUNCTION("IF(H16&gt;0, ($L16+$Q16) * H16 * ($K16 + IF(AND(REGEXMATCH($C16, $B16), REGEXMATCH($C16,Axe_Bonuses[[#HEADERS],[He]])), Axe_Bonuses[He],) ) / $K16, 0)"),33.69709090909091)</f>
        <v>33.69709091</v>
      </c>
      <c r="T16" s="44">
        <f>IFERROR(__xludf.DUMMYFUNCTION("IF(I16&gt;0, ($L16+$Q16) * I16 * ($K16 + IF(AND(REGEXMATCH($C16, $B16), REGEXMATCH($C16,Axe_Bonuses[[#HEADERS],[Vo]])), Axe_Bonuses[Vo],) ) / $K16, 0)"),0.0)</f>
        <v>0</v>
      </c>
      <c r="U16" s="64">
        <f t="shared" si="2"/>
        <v>202.8181818</v>
      </c>
      <c r="V16" s="29">
        <v>203.0</v>
      </c>
      <c r="W16" s="69">
        <f t="shared" si="3"/>
        <v>0.0008956560681</v>
      </c>
      <c r="X16" s="71">
        <f>IFERROR(__xludf.DUMMYFUNCTION("Axe_Bonuses[Special
Mult] * ((L16 + Q16) * (K16 + IF(REGEXMATCH(C16, B16), If(REGEXMATCH(C16, Axe_Bonuses[[#HEADERS],[Py]]), Axe_Bonuses[Py], 0) + If(REGEXMATCH(C16, Axe_Bonuses[[#HEADERS],[He]]), Axe_Bonuses[He], 0) + If(REGEXMATCH(C16, Axe_Bonuses[[#HEA"&amp;"DERS],[Vo]]), Axe_Bonuses[Vo], 0), 0)) / K16 + SUM(R16:T16))"),141.5277818181818)</f>
        <v>141.5277818</v>
      </c>
      <c r="Y16" s="55">
        <v>141.0</v>
      </c>
      <c r="Z16" s="72">
        <f t="shared" si="4"/>
        <v>0.003743133462</v>
      </c>
    </row>
    <row r="17" ht="22.5" customHeight="1">
      <c r="A17" s="47" t="s">
        <v>95</v>
      </c>
      <c r="B17" s="50" t="s">
        <v>23</v>
      </c>
      <c r="C17" s="81" t="s">
        <v>100</v>
      </c>
      <c r="D17" s="53">
        <v>670.0</v>
      </c>
      <c r="E17" s="55">
        <v>226.0</v>
      </c>
      <c r="F17" s="56">
        <v>95.0</v>
      </c>
      <c r="G17" s="57">
        <v>0.0</v>
      </c>
      <c r="H17" s="57">
        <v>0.0</v>
      </c>
      <c r="I17" s="57">
        <v>0.2</v>
      </c>
      <c r="J17" s="96">
        <v>0.3</v>
      </c>
      <c r="K17" s="43">
        <f>IFERROR(__xludf.DUMMYFUNCTION("1 + J17 + IF(REGEXMATCH(C17, Axe_Bonuses[[#HEADERS],[Mi]]), Axe_Bonuses[Mi])  + IF(REGEXMATCH(C17, Axe_Bonuses[[#HEADERS],[Re]]), Axe_Bonuses[Re], 0) + IF(REGEXMATCH(C17, Axe_Bonuses[[#HEADERS],[Tr1]]), Axe_Bonuses[Tr1], 0) + IF(REGEXMATCH(C17, Axe_Bonuse"&amp;"s[[#HEADERS],[Tr2]]), Axe_Bonuses[Tr2], 0)"),1.5)</f>
        <v>1.5</v>
      </c>
      <c r="L17" s="44">
        <f t="shared" si="1"/>
        <v>142.5</v>
      </c>
      <c r="M17" s="68">
        <f>$K17 *D17 / Axe_Bonuses[Stam/Dmg]</f>
        <v>22.84090909</v>
      </c>
      <c r="N17" s="44">
        <f>IFERROR(__xludf.DUMMYFUNCTION("IF(G17&gt;0, ($L17+$M17) * G17 * ($K17 + IF(AND(REGEXMATCH($C17, $B17), REGEXMATCH($C17,Axe_Bonuses[[#HEADERS],[Py]])), Axe_Bonuses[Py],) ) / $K17, 0)"),0.0)</f>
        <v>0</v>
      </c>
      <c r="O17" s="44">
        <f>IFERROR(__xludf.DUMMYFUNCTION("IF(H17&gt;0, ($L17+$M17) * H17 * ($K17 + IF(AND(REGEXMATCH($C17, $B17), REGEXMATCH($C17,Axe_Bonuses[[#HEADERS],[He]])), Axe_Bonuses[He],) ) / $K17, 0)"),0.0)</f>
        <v>0</v>
      </c>
      <c r="P17" s="44">
        <f>IFERROR(__xludf.DUMMYFUNCTION("IF(I17&gt;0, ($L17+$M17) * I17 * ($K17 + IF(AND(REGEXMATCH($C17, $B17), REGEXMATCH($C17,Axe_Bonuses[[#HEADERS],[Vo]])), Axe_Bonuses[Vo],) ) / $K17, 0)"),33.06818181818182)</f>
        <v>33.06818182</v>
      </c>
      <c r="Q17" s="68">
        <f>$K17 *E17 / Axe_Bonuses[Mag/Dmg]</f>
        <v>6.163636364</v>
      </c>
      <c r="R17" s="44">
        <f>IFERROR(__xludf.DUMMYFUNCTION("IF(G17&gt;0, ($L17+$Q17) * G17 * ($K17 + IF(AND(REGEXMATCH($C17, $B17), REGEXMATCH($C17,Axe_Bonuses[[#HEADERS],[Py]])), Axe_Bonuses[Py],) ) / $K17, 0)"),0.0)</f>
        <v>0</v>
      </c>
      <c r="S17" s="44">
        <f>IFERROR(__xludf.DUMMYFUNCTION("IF(H17&gt;0, ($L17+$Q17) * H17 * ($K17 + IF(AND(REGEXMATCH($C17, $B17), REGEXMATCH($C17,Axe_Bonuses[[#HEADERS],[He]])), Axe_Bonuses[He],) ) / $K17, 0)"),0.0)</f>
        <v>0</v>
      </c>
      <c r="T17" s="44">
        <f>IFERROR(__xludf.DUMMYFUNCTION("IF(I17&gt;0, ($L17+$Q17) * I17 * ($K17 + IF(AND(REGEXMATCH($C17, $B17), REGEXMATCH($C17,Axe_Bonuses[[#HEADERS],[Vo]])), Axe_Bonuses[Vo],) ) / $K17, 0)"),29.732727272727274)</f>
        <v>29.73272727</v>
      </c>
      <c r="U17" s="64">
        <f t="shared" si="2"/>
        <v>198.4090909</v>
      </c>
      <c r="V17" s="79">
        <v>199.0</v>
      </c>
      <c r="W17" s="69">
        <f t="shared" si="3"/>
        <v>0.002969392417</v>
      </c>
      <c r="X17" s="71">
        <f>IFERROR(__xludf.DUMMYFUNCTION("Axe_Bonuses[Special
Mult] * ((L17 + Q17) * (K17 + IF(REGEXMATCH(C17, B17), If(REGEXMATCH(C17, Axe_Bonuses[[#HEADERS],[Py]]), Axe_Bonuses[Py], 0) + If(REGEXMATCH(C17, Axe_Bonuses[[#HEADERS],[He]]), Axe_Bonuses[He], 0) + If(REGEXMATCH(C17, Axe_Bonuses[[#HEA"&amp;"DERS],[Vo]]), Axe_Bonuses[Vo], 0), 0)) / K17 + SUM(R17:T17))"),138.75272727272724)</f>
        <v>138.7527273</v>
      </c>
      <c r="Y17" s="55">
        <v>139.0</v>
      </c>
      <c r="Z17" s="72">
        <f t="shared" si="4"/>
        <v>0.001778940484</v>
      </c>
    </row>
    <row r="18" ht="22.5" customHeight="1">
      <c r="A18" s="47" t="s">
        <v>95</v>
      </c>
      <c r="B18" s="50" t="s">
        <v>23</v>
      </c>
      <c r="C18" s="81" t="s">
        <v>100</v>
      </c>
      <c r="D18" s="53">
        <v>670.0</v>
      </c>
      <c r="E18" s="55">
        <v>226.0</v>
      </c>
      <c r="F18" s="56">
        <v>95.0</v>
      </c>
      <c r="G18" s="57">
        <v>0.0</v>
      </c>
      <c r="H18" s="57">
        <v>0.0</v>
      </c>
      <c r="I18" s="57">
        <v>0.0</v>
      </c>
      <c r="J18" s="96">
        <v>0.3</v>
      </c>
      <c r="K18" s="43">
        <f>IFERROR(__xludf.DUMMYFUNCTION("1 + J18 + IF(REGEXMATCH(C18, Axe_Bonuses[[#HEADERS],[Mi]]), Axe_Bonuses[Mi])  + IF(REGEXMATCH(C18, Axe_Bonuses[[#HEADERS],[Re]]), Axe_Bonuses[Re], 0) + IF(REGEXMATCH(C18, Axe_Bonuses[[#HEADERS],[Tr1]]), Axe_Bonuses[Tr1], 0) + IF(REGEXMATCH(C18, Axe_Bonuse"&amp;"s[[#HEADERS],[Tr2]]), Axe_Bonuses[Tr2], 0)"),1.5)</f>
        <v>1.5</v>
      </c>
      <c r="L18" s="44">
        <f t="shared" si="1"/>
        <v>142.5</v>
      </c>
      <c r="M18" s="68">
        <f>$K18 *D18 / Axe_Bonuses[Stam/Dmg]</f>
        <v>22.84090909</v>
      </c>
      <c r="N18" s="44">
        <f>IFERROR(__xludf.DUMMYFUNCTION("IF(G18&gt;0, ($L18+$M18) * G18 * ($K18 + IF(AND(REGEXMATCH($C18, $B18), REGEXMATCH($C18,Axe_Bonuses[[#HEADERS],[Py]])), Axe_Bonuses[Py],) ) / $K18, 0)"),0.0)</f>
        <v>0</v>
      </c>
      <c r="O18" s="44">
        <f>IFERROR(__xludf.DUMMYFUNCTION("IF(H18&gt;0, ($L18+$M18) * H18 * ($K18 + IF(AND(REGEXMATCH($C18, $B18), REGEXMATCH($C18,Axe_Bonuses[[#HEADERS],[He]])), Axe_Bonuses[He],) ) / $K18, 0)"),0.0)</f>
        <v>0</v>
      </c>
      <c r="P18" s="44">
        <f>IFERROR(__xludf.DUMMYFUNCTION("IF(I18&gt;0, ($L18+$M18) * I18 * ($K18 + IF(AND(REGEXMATCH($C18, $B18), REGEXMATCH($C18,Axe_Bonuses[[#HEADERS],[Vo]])), Axe_Bonuses[Vo],) ) / $K18, 0)"),0.0)</f>
        <v>0</v>
      </c>
      <c r="Q18" s="68">
        <f>$K18 *E18 / Axe_Bonuses[Mag/Dmg]</f>
        <v>6.163636364</v>
      </c>
      <c r="R18" s="44">
        <f>IFERROR(__xludf.DUMMYFUNCTION("IF(G18&gt;0, ($L18+$Q18) * G18 * ($K18 + IF(AND(REGEXMATCH($C18, $B18), REGEXMATCH($C18,Axe_Bonuses[[#HEADERS],[Py]])), Axe_Bonuses[Py],) ) / $K18, 0)"),0.0)</f>
        <v>0</v>
      </c>
      <c r="S18" s="44">
        <f>IFERROR(__xludf.DUMMYFUNCTION("IF(H18&gt;0, ($L18+$Q18) * H18 * ($K18 + IF(AND(REGEXMATCH($C18, $B18), REGEXMATCH($C18,Axe_Bonuses[[#HEADERS],[He]])), Axe_Bonuses[He],) ) / $K18, 0)"),0.0)</f>
        <v>0</v>
      </c>
      <c r="T18" s="44">
        <f>IFERROR(__xludf.DUMMYFUNCTION("IF(I18&gt;0, ($L18+$Q18) * I18 * ($K18 + IF(AND(REGEXMATCH($C18, $B18), REGEXMATCH($C18,Axe_Bonuses[[#HEADERS],[Vo]])), Axe_Bonuses[Vo],) ) / $K18, 0)"),0.0)</f>
        <v>0</v>
      </c>
      <c r="U18" s="64">
        <f t="shared" si="2"/>
        <v>165.3409091</v>
      </c>
      <c r="V18" s="29">
        <v>166.0</v>
      </c>
      <c r="W18" s="69">
        <f t="shared" si="3"/>
        <v>0.003970427163</v>
      </c>
      <c r="X18" s="71">
        <f>IFERROR(__xludf.DUMMYFUNCTION("Axe_Bonuses[Special
Mult] * ((L18 + Q18) * (K18 + IF(REGEXMATCH(C18, B18), If(REGEXMATCH(C18, Axe_Bonuses[[#HEADERS],[Py]]), Axe_Bonuses[Py], 0) + If(REGEXMATCH(C18, Axe_Bonuses[[#HEADERS],[He]]), Axe_Bonuses[He], 0) + If(REGEXMATCH(C18, Axe_Bonuses[[#HEA"&amp;"DERS],[Vo]]), Axe_Bonuses[Vo], 0), 0)) / K18 + SUM(R18:T18))"),117.93981818181817)</f>
        <v>117.9398182</v>
      </c>
      <c r="Y18" s="55">
        <v>118.0</v>
      </c>
      <c r="Z18" s="72">
        <f t="shared" si="4"/>
        <v>0.0005100154083</v>
      </c>
    </row>
    <row r="19" ht="22.5" customHeight="1">
      <c r="A19" s="47" t="s">
        <v>79</v>
      </c>
      <c r="B19" s="50" t="s">
        <v>23</v>
      </c>
      <c r="C19" s="50" t="s">
        <v>103</v>
      </c>
      <c r="D19" s="53">
        <v>1534.0</v>
      </c>
      <c r="E19" s="55">
        <v>227.0</v>
      </c>
      <c r="F19" s="56">
        <v>155.0</v>
      </c>
      <c r="G19" s="57">
        <v>0.08</v>
      </c>
      <c r="H19" s="57">
        <v>0.08</v>
      </c>
      <c r="I19" s="57">
        <v>0.08</v>
      </c>
      <c r="J19" s="58">
        <v>0.0</v>
      </c>
      <c r="K19" s="43">
        <f>IFERROR(__xludf.DUMMYFUNCTION("1 + J19 + IF(REGEXMATCH(C19, Axe_Bonuses[[#HEADERS],[Mi]]), Axe_Bonuses[Mi])  + IF(REGEXMATCH(C19, Axe_Bonuses[[#HEADERS],[Re]]), Axe_Bonuses[Re], 0) + IF(REGEXMATCH(C19, Axe_Bonuses[[#HEADERS],[Tr1]]), Axe_Bonuses[Tr1], 0) + IF(REGEXMATCH(C19, Axe_Bonuse"&amp;"s[[#HEADERS],[Tr2]]), Axe_Bonuses[Tr2], 0)"),1.3)</f>
        <v>1.3</v>
      </c>
      <c r="L19" s="44">
        <f t="shared" si="1"/>
        <v>201.5</v>
      </c>
      <c r="M19" s="68">
        <f>$K19 *D19 / Axe_Bonuses[Stam/Dmg]</f>
        <v>45.32272727</v>
      </c>
      <c r="N19" s="44">
        <f>IFERROR(__xludf.DUMMYFUNCTION("IF(G19&gt;0, ($L19+$M19) * G19 * ($K19 + IF(AND(REGEXMATCH($C19, $B19), REGEXMATCH($C19,Axe_Bonuses[[#HEADERS],[Py]])), Axe_Bonuses[Py],) ) / $K19, 0)"),19.74581818181818)</f>
        <v>19.74581818</v>
      </c>
      <c r="O19" s="44">
        <f>IFERROR(__xludf.DUMMYFUNCTION("IF(H19&gt;0, ($L19+$M19) * H19 * ($K19 + IF(AND(REGEXMATCH($C19, $B19), REGEXMATCH($C19,Axe_Bonuses[[#HEADERS],[He]])), Axe_Bonuses[He],) ) / $K19, 0)"),19.74581818181818)</f>
        <v>19.74581818</v>
      </c>
      <c r="P19" s="44">
        <f>IFERROR(__xludf.DUMMYFUNCTION("IF(I19&gt;0, ($L19+$M19) * I19 * ($K19 + IF(AND(REGEXMATCH($C19, $B19), REGEXMATCH($C19,Axe_Bonuses[[#HEADERS],[Vo]])), Axe_Bonuses[Vo],) ) / $K19, 0)"),19.74581818181818)</f>
        <v>19.74581818</v>
      </c>
      <c r="Q19" s="68">
        <f>$K19 *E19 / Axe_Bonuses[Mag/Dmg]</f>
        <v>5.365454545</v>
      </c>
      <c r="R19" s="44">
        <f>IFERROR(__xludf.DUMMYFUNCTION("IF(G19&gt;0, ($L19+$Q19) * G19 * ($K19 + IF(AND(REGEXMATCH($C19, $B19), REGEXMATCH($C19,Axe_Bonuses[[#HEADERS],[Py]])), Axe_Bonuses[Py],) ) / $K19, 0)"),16.549236363636364)</f>
        <v>16.54923636</v>
      </c>
      <c r="S19" s="44">
        <f>IFERROR(__xludf.DUMMYFUNCTION("IF(H19&gt;0, ($L19+$Q19) * H19 * ($K19 + IF(AND(REGEXMATCH($C19, $B19), REGEXMATCH($C19,Axe_Bonuses[[#HEADERS],[He]])), Axe_Bonuses[He],) ) / $K19, 0)"),16.549236363636364)</f>
        <v>16.54923636</v>
      </c>
      <c r="T19" s="44">
        <f>IFERROR(__xludf.DUMMYFUNCTION("IF(I19&gt;0, ($L19+$Q19) * I19 * ($K19 + IF(AND(REGEXMATCH($C19, $B19), REGEXMATCH($C19,Axe_Bonuses[[#HEADERS],[Vo]])), Axe_Bonuses[Vo],) ) / $K19, 0)"),16.549236363636364)</f>
        <v>16.54923636</v>
      </c>
      <c r="U19" s="64">
        <f t="shared" si="2"/>
        <v>306.0601818</v>
      </c>
      <c r="V19" s="55">
        <v>306.0</v>
      </c>
      <c r="W19" s="69">
        <f t="shared" si="3"/>
        <v>0.0001966726084</v>
      </c>
      <c r="X19" s="71">
        <f>IFERROR(__xludf.DUMMYFUNCTION("Axe_Bonuses[Special
Mult] * ((L19 + Q19) * (K19 + IF(REGEXMATCH(C19, B19), If(REGEXMATCH(C19, Axe_Bonuses[[#HEADERS],[Py]]), Axe_Bonuses[Py], 0) + If(REGEXMATCH(C19, Axe_Bonuses[[#HEADERS],[He]]), Axe_Bonuses[He], 0) + If(REGEXMATCH(C19, Axe_Bonuses[[#HEA"&amp;"DERS],[Vo]]), Axe_Bonuses[Vo], 0), 0)) / K19 + SUM(R19:T19))"),179.55921454545458)</f>
        <v>179.5592145</v>
      </c>
      <c r="Y19" s="55">
        <v>180.0</v>
      </c>
      <c r="Z19" s="72">
        <f t="shared" si="4"/>
        <v>0.002448808081</v>
      </c>
    </row>
    <row r="20" ht="22.5" customHeight="1">
      <c r="A20" s="143" t="s">
        <v>79</v>
      </c>
      <c r="B20" s="145" t="s">
        <v>23</v>
      </c>
      <c r="C20" s="145" t="s">
        <v>103</v>
      </c>
      <c r="D20" s="148">
        <v>961.0</v>
      </c>
      <c r="E20" s="149">
        <v>227.0</v>
      </c>
      <c r="F20" s="150">
        <v>155.0</v>
      </c>
      <c r="G20" s="151">
        <v>0.08</v>
      </c>
      <c r="H20" s="151">
        <v>0.08</v>
      </c>
      <c r="I20" s="151">
        <v>0.08</v>
      </c>
      <c r="J20" s="152">
        <v>0.3</v>
      </c>
      <c r="K20" s="156">
        <f>IFERROR(__xludf.DUMMYFUNCTION("1 + J20 + IF(REGEXMATCH(C20, Axe_Bonuses[[#HEADERS],[Mi]]), Axe_Bonuses[Mi])  + IF(REGEXMATCH(C20, Axe_Bonuses[[#HEADERS],[Re]]), Axe_Bonuses[Re], 0) + IF(REGEXMATCH(C20, Axe_Bonuses[[#HEADERS],[Tr1]]), Axe_Bonuses[Tr1], 0) + IF(REGEXMATCH(C20, Axe_Bonuse"&amp;"s[[#HEADERS],[Tr2]]), Axe_Bonuses[Tr2], 0)"),1.6)</f>
        <v>1.6</v>
      </c>
      <c r="L20" s="158">
        <f t="shared" si="1"/>
        <v>248</v>
      </c>
      <c r="M20" s="160">
        <f>$K20 *D20 / Axe_Bonuses[Stam/Dmg]</f>
        <v>34.94545455</v>
      </c>
      <c r="N20" s="158">
        <f>IFERROR(__xludf.DUMMYFUNCTION("IF(G20&gt;0, ($L20+$M20) * G20 * ($K20 + IF(AND(REGEXMATCH($C20, $B20), REGEXMATCH($C20,Axe_Bonuses[[#HEADERS],[Py]])), Axe_Bonuses[Py],) ) / $K20, 0)"),22.635636363636362)</f>
        <v>22.63563636</v>
      </c>
      <c r="O20" s="158">
        <f>IFERROR(__xludf.DUMMYFUNCTION("IF(H20&gt;0, ($L20+$M20) * H20 * ($K20 + IF(AND(REGEXMATCH($C20, $B20), REGEXMATCH($C20,Axe_Bonuses[[#HEADERS],[He]])), Axe_Bonuses[He],) ) / $K20, 0)"),22.635636363636362)</f>
        <v>22.63563636</v>
      </c>
      <c r="P20" s="158">
        <f>IFERROR(__xludf.DUMMYFUNCTION("IF(I20&gt;0, ($L20+$M20) * I20 * ($K20 + IF(AND(REGEXMATCH($C20, $B20), REGEXMATCH($C20,Axe_Bonuses[[#HEADERS],[Vo]])), Axe_Bonuses[Vo],) ) / $K20, 0)"),22.635636363636362)</f>
        <v>22.63563636</v>
      </c>
      <c r="Q20" s="160">
        <f>$K20 *E20 / Axe_Bonuses[Mag/Dmg]</f>
        <v>6.603636364</v>
      </c>
      <c r="R20" s="158">
        <f>IFERROR(__xludf.DUMMYFUNCTION("IF(G20&gt;0, ($L20+$Q20) * G20 * ($K20 + IF(AND(REGEXMATCH($C20, $B20), REGEXMATCH($C20,Axe_Bonuses[[#HEADERS],[Py]])), Axe_Bonuses[Py],) ) / $K20, 0)"),20.36829090909091)</f>
        <v>20.36829091</v>
      </c>
      <c r="S20" s="158">
        <f>IFERROR(__xludf.DUMMYFUNCTION("IF(H20&gt;0, ($L20+$Q20) * H20 * ($K20 + IF(AND(REGEXMATCH($C20, $B20), REGEXMATCH($C20,Axe_Bonuses[[#HEADERS],[He]])), Axe_Bonuses[He],) ) / $K20, 0)"),20.36829090909091)</f>
        <v>20.36829091</v>
      </c>
      <c r="T20" s="158">
        <f>IFERROR(__xludf.DUMMYFUNCTION("IF(I20&gt;0, ($L20+$Q20) * I20 * ($K20 + IF(AND(REGEXMATCH($C20, $B20), REGEXMATCH($C20,Axe_Bonuses[[#HEADERS],[Vo]])), Axe_Bonuses[Vo],) ) / $K20, 0)"),20.36829090909091)</f>
        <v>20.36829091</v>
      </c>
      <c r="U20" s="162">
        <f t="shared" si="2"/>
        <v>350.8523636</v>
      </c>
      <c r="V20" s="149">
        <v>351.0</v>
      </c>
      <c r="W20" s="163">
        <f t="shared" si="3"/>
        <v>0.0004206164206</v>
      </c>
      <c r="X20" s="165">
        <f>IFERROR(__xludf.DUMMYFUNCTION("Axe_Bonuses[Special
Mult] * ((L20 + Q20) * (K20 + IF(REGEXMATCH(C20, B20), If(REGEXMATCH(C20, Axe_Bonuses[[#HEADERS],[Py]]), Axe_Bonuses[Py], 0) + If(REGEXMATCH(C20, Axe_Bonuses[[#HEADERS],[He]]), Axe_Bonuses[He], 0) + If(REGEXMATCH(C20, Axe_Bonuses[[#HEA"&amp;"DERS],[Vo]]), Axe_Bonuses[Vo], 0), 0)) / K20 + SUM(R20:T20))"),220.99595636363637)</f>
        <v>220.9959564</v>
      </c>
      <c r="Y20" s="149">
        <v>222.0</v>
      </c>
      <c r="Z20" s="166">
        <f t="shared" si="4"/>
        <v>0.004522719083</v>
      </c>
    </row>
    <row r="21" ht="22.5" customHeight="1">
      <c r="A21" s="167" t="s">
        <v>105</v>
      </c>
      <c r="B21" s="168" t="s">
        <v>23</v>
      </c>
      <c r="C21" s="168" t="s">
        <v>107</v>
      </c>
      <c r="D21" s="170">
        <f>IFERROR(__xludf.DUMMYFUNCTION("200 + Scaling!$E$6 + Scaling!$C$15 + (INDEX(SPLIT($A21, "".""),3) + VLOOKUP(INDEX(SPLIT($A21, "".""),2), Rarity_Bonus_Levels_[[Identifier]:[Bonus Lvls]], 2) - 1) * (Scaling!$E$7 + Scaling!$C$16)"),550.8)</f>
        <v>550.8</v>
      </c>
      <c r="E21" s="171">
        <f t="shared" ref="E21:E32" si="5">200</f>
        <v>200</v>
      </c>
      <c r="F21" s="172">
        <f>IFERROR(__xludf.DUMMYFUNCTION("Scaling!$E$4 + (INDEX(SPLIT($A21, "".""),3) + VLOOKUP(INDEX(SPLIT($A21, "".""),2), Rarity_Bonus_Levels_[[Identifier]:[Bonus Lvls]], 2) - 1) * (Scaling!$E$5)"),59.0)</f>
        <v>59</v>
      </c>
      <c r="G21" s="174">
        <v>0.08</v>
      </c>
      <c r="H21" s="174">
        <v>0.08</v>
      </c>
      <c r="I21" s="174">
        <v>0.08</v>
      </c>
      <c r="J21" s="178"/>
      <c r="K21" s="90">
        <f>IFERROR(__xludf.DUMMYFUNCTION("1 + J21 + IF(REGEXMATCH(C21, Axe_Bonuses[[#HEADERS],[Mi]]), Axe_Bonuses[Mi])  + IF(REGEXMATCH(C21, Axe_Bonuses[[#HEADERS],[Re]]), Axe_Bonuses[Re], 0) + IF(REGEXMATCH(C21, Axe_Bonuses[[#HEADERS],[Tr1]]), Axe_Bonuses[Tr1], 0) + IF(REGEXMATCH(C21, Axe_Bonuse"&amp;"s[[#HEADERS],[Tr2]]), Axe_Bonuses[Tr2], 0)"),1.5)</f>
        <v>1.5</v>
      </c>
      <c r="L21" s="44">
        <f t="shared" si="1"/>
        <v>88.5</v>
      </c>
      <c r="M21" s="68">
        <f>$K21 * D21 / Axe_Bonuses[Stam/Dmg]</f>
        <v>18.77727273</v>
      </c>
      <c r="N21" s="44">
        <f>IFERROR(__xludf.DUMMYFUNCTION("IF(G21&gt;0, ($L21+$M21) * G21 * ($K21 + IF(AND(REGEXMATCH($C21, $B21), REGEXMATCH($C21,Axe_Bonuses[[#HEADERS],[Py]])), Axe_Bonuses[Py],) ) / $K21, 0)"),8.58218181818182)</f>
        <v>8.582181818</v>
      </c>
      <c r="O21" s="44">
        <f>IFERROR(__xludf.DUMMYFUNCTION("IF(H21&gt;0, ($L21+$M21) * H21 * ($K21 + IF(AND(REGEXMATCH($C21, $B21), REGEXMATCH($C21,Axe_Bonuses[[#HEADERS],[He]])), Axe_Bonuses[He],) ) / $K21, 0)"),9.726472727272728)</f>
        <v>9.726472727</v>
      </c>
      <c r="P21" s="44">
        <f>IFERROR(__xludf.DUMMYFUNCTION("IF(I21&gt;0, ($L21+$M21) * I21 * ($K21 + IF(AND(REGEXMATCH($C21, $B21), REGEXMATCH($C21,Axe_Bonuses[[#HEADERS],[Vo]])), Axe_Bonuses[Vo],) ) / $K21, 0)"),8.58218181818182)</f>
        <v>8.582181818</v>
      </c>
      <c r="Q21" s="68">
        <f>$K21 *E21 / Axe_Bonuses[Mag/Dmg]</f>
        <v>5.454545455</v>
      </c>
      <c r="R21" s="44">
        <f>IFERROR(__xludf.DUMMYFUNCTION("IF(G21&gt;0, ($L21+$Q21) * G21 * ($K21 + IF(AND(REGEXMATCH($C21, $B21), REGEXMATCH($C21,Axe_Bonuses[[#HEADERS],[Py]])), Axe_Bonuses[Py],) ) / $K21, 0)"),7.516363636363637)</f>
        <v>7.516363636</v>
      </c>
      <c r="S21" s="44">
        <f>IFERROR(__xludf.DUMMYFUNCTION("IF(H21&gt;0, ($L21+$Q21) * H21 * ($K21 + IF(AND(REGEXMATCH($C21, $B21), REGEXMATCH($C21,Axe_Bonuses[[#HEADERS],[He]])), Axe_Bonuses[He],) ) / $K21, 0)"),8.518545454545455)</f>
        <v>8.518545455</v>
      </c>
      <c r="T21" s="44">
        <f>IFERROR(__xludf.DUMMYFUNCTION("IF(I21&gt;0, ($L21+$Q21) * I21 * ($K21 + IF(AND(REGEXMATCH($C21, $B21), REGEXMATCH($C21,Axe_Bonuses[[#HEADERS],[Vo]])), Axe_Bonuses[Vo],) ) / $K21, 0)"),7.516363636363637)</f>
        <v>7.516363636</v>
      </c>
      <c r="U21" s="64">
        <f t="shared" si="2"/>
        <v>134.1681091</v>
      </c>
      <c r="V21" s="65"/>
      <c r="W21" s="69" t="str">
        <f t="shared" si="3"/>
        <v/>
      </c>
      <c r="X21" s="93">
        <f>IFERROR(__xludf.DUMMYFUNCTION("Axe_Bonuses[Special
Mult] * ((L21 + Q21) * (K21 + IF(REGEXMATCH(C21, B21), If(REGEXMATCH(C21, Axe_Bonuses[[#HEADERS],[Py]]), Axe_Bonuses[Py], 0) + If(REGEXMATCH(C21, Axe_Bonuses[[#HEADERS],[He]]), Axe_Bonuses[He], 0) + If(REGEXMATCH(C21, Axe_Bonuses[[#HEA"&amp;"DERS],[Vo]]), Axe_Bonuses[Vo], 0), 0)) / K21 + SUM(R21:T21))"),91.02316363636362)</f>
        <v>91.02316364</v>
      </c>
      <c r="Y21" s="93"/>
      <c r="Z21" s="72" t="str">
        <f t="shared" si="4"/>
        <v/>
      </c>
    </row>
    <row r="22" ht="22.5" customHeight="1">
      <c r="A22" s="167" t="s">
        <v>105</v>
      </c>
      <c r="B22" s="185" t="s">
        <v>23</v>
      </c>
      <c r="C22" s="101" t="s">
        <v>107</v>
      </c>
      <c r="D22" s="170">
        <f>IFERROR(__xludf.DUMMYFUNCTION("200 + Scaling!$E$6 + Scaling!$C$15 + (INDEX(SPLIT($A22, "".""),3) + VLOOKUP(INDEX(SPLIT($A22, "".""),2), Rarity_Bonus_Levels_[[Identifier]:[Bonus Lvls]], 2) - 1) * (Scaling!$E$7 + Scaling!$C$16)"),550.8)</f>
        <v>550.8</v>
      </c>
      <c r="E22" s="171">
        <f t="shared" si="5"/>
        <v>200</v>
      </c>
      <c r="F22" s="172">
        <f>IFERROR(__xludf.DUMMYFUNCTION("Scaling!$E$4 + (INDEX(SPLIT($A22, "".""),3) + VLOOKUP(INDEX(SPLIT($A22, "".""),2), Rarity_Bonus_Levels_[[Identifier]:[Bonus Lvls]], 2) - 1) * (Scaling!$E$5)"),59.0)</f>
        <v>59</v>
      </c>
      <c r="G22" s="187"/>
      <c r="H22" s="188">
        <v>0.2</v>
      </c>
      <c r="I22" s="189"/>
      <c r="J22" s="178"/>
      <c r="K22" s="90">
        <f>IFERROR(__xludf.DUMMYFUNCTION("1 + J22 + IF(REGEXMATCH(C22, Axe_Bonuses[[#HEADERS],[Mi]]), Axe_Bonuses[Mi])  + IF(REGEXMATCH(C22, Axe_Bonuses[[#HEADERS],[Re]]), Axe_Bonuses[Re], 0) + IF(REGEXMATCH(C22, Axe_Bonuses[[#HEADERS],[Tr1]]), Axe_Bonuses[Tr1], 0) + IF(REGEXMATCH(C22, Axe_Bonuse"&amp;"s[[#HEADERS],[Tr2]]), Axe_Bonuses[Tr2], 0)"),1.5)</f>
        <v>1.5</v>
      </c>
      <c r="L22" s="44">
        <f t="shared" si="1"/>
        <v>88.5</v>
      </c>
      <c r="M22" s="68">
        <f>$K22 * D22 / Axe_Bonuses[Stam/Dmg]</f>
        <v>18.77727273</v>
      </c>
      <c r="N22" s="44">
        <f>IFERROR(__xludf.DUMMYFUNCTION("IF(G22&gt;0, ($L22+$M22) * G22 * ($K22 + IF(AND(REGEXMATCH($C22, $B22), REGEXMATCH($C22,Axe_Bonuses[[#HEADERS],[Py]])), Axe_Bonuses[Py],) ) / $K22, 0)"),0.0)</f>
        <v>0</v>
      </c>
      <c r="O22" s="44">
        <f>IFERROR(__xludf.DUMMYFUNCTION("IF(H22&gt;0, ($L22+$M22) * H22 * ($K22 + IF(AND(REGEXMATCH($C22, $B22), REGEXMATCH($C22,Axe_Bonuses[[#HEADERS],[He]])), Axe_Bonuses[He],) ) / $K22, 0)"),24.316181818181818)</f>
        <v>24.31618182</v>
      </c>
      <c r="P22" s="44">
        <f>IFERROR(__xludf.DUMMYFUNCTION("IF(I22&gt;0, ($L22+$M22) * I22 * ($K22 + IF(AND(REGEXMATCH($C22, $B22), REGEXMATCH($C22,Axe_Bonuses[[#HEADERS],[Vo]])), Axe_Bonuses[Vo],) ) / $K22, 0)"),0.0)</f>
        <v>0</v>
      </c>
      <c r="Q22" s="68">
        <f>$K22 *E22 / Axe_Bonuses[Mag/Dmg]</f>
        <v>5.454545455</v>
      </c>
      <c r="R22" s="44">
        <f>IFERROR(__xludf.DUMMYFUNCTION("IF(G22&gt;0, ($L22+$Q22) * G22 * ($K22 + IF(AND(REGEXMATCH($C22, $B22), REGEXMATCH($C22,Axe_Bonuses[[#HEADERS],[Py]])), Axe_Bonuses[Py],) ) / $K22, 0)"),0.0)</f>
        <v>0</v>
      </c>
      <c r="S22" s="44">
        <f>IFERROR(__xludf.DUMMYFUNCTION("IF(H22&gt;0, ($L22+$Q22) * H22 * ($K22 + IF(AND(REGEXMATCH($C22, $B22), REGEXMATCH($C22,Axe_Bonuses[[#HEADERS],[He]])), Axe_Bonuses[He],) ) / $K22, 0)"),21.296363636363637)</f>
        <v>21.29636364</v>
      </c>
      <c r="T22" s="44">
        <f>IFERROR(__xludf.DUMMYFUNCTION("IF(I22&gt;0, ($L22+$Q22) * I22 * ($K22 + IF(AND(REGEXMATCH($C22, $B22), REGEXMATCH($C22,Axe_Bonuses[[#HEADERS],[Vo]])), Axe_Bonuses[Vo],) ) / $K22, 0)"),0.0)</f>
        <v>0</v>
      </c>
      <c r="U22" s="64">
        <f t="shared" si="2"/>
        <v>131.5934545</v>
      </c>
      <c r="V22" s="65"/>
      <c r="W22" s="69" t="str">
        <f t="shared" si="3"/>
        <v/>
      </c>
      <c r="X22" s="93">
        <f>IFERROR(__xludf.DUMMYFUNCTION("Axe_Bonuses[Special
Mult] * ((L22 + Q22) * (K22 + IF(REGEXMATCH(C22, B22), If(REGEXMATCH(C22, Axe_Bonuses[[#HEADERS],[Py]]), Axe_Bonuses[Py], 0) + If(REGEXMATCH(C22, Axe_Bonuses[[#HEADERS],[He]]), Axe_Bonuses[He], 0) + If(REGEXMATCH(C22, Axe_Bonuses[[#HEA"&amp;"DERS],[Vo]]), Axe_Bonuses[Vo], 0), 0)) / K22 + SUM(R22:T22))"),89.44472727272726)</f>
        <v>89.44472727</v>
      </c>
      <c r="Y22" s="93"/>
      <c r="Z22" s="72" t="str">
        <f t="shared" si="4"/>
        <v/>
      </c>
    </row>
    <row r="23" ht="22.5" customHeight="1">
      <c r="A23" s="167" t="s">
        <v>105</v>
      </c>
      <c r="B23" s="108" t="s">
        <v>23</v>
      </c>
      <c r="C23" s="108" t="s">
        <v>107</v>
      </c>
      <c r="D23" s="170">
        <f>IFERROR(__xludf.DUMMYFUNCTION("200 + Scaling!$E$6 + Scaling!$C$15 + (INDEX(SPLIT($A23, "".""),3) + VLOOKUP(INDEX(SPLIT($A23, "".""),2), Rarity_Bonus_Levels_[[Identifier]:[Bonus Lvls]], 2) - 1) * (Scaling!$E$7 + Scaling!$C$16)"),550.8)</f>
        <v>550.8</v>
      </c>
      <c r="E23" s="171">
        <f t="shared" si="5"/>
        <v>200</v>
      </c>
      <c r="F23" s="172">
        <f>IFERROR(__xludf.DUMMYFUNCTION("Scaling!$E$4 + (INDEX(SPLIT($A23, "".""),3) + VLOOKUP(INDEX(SPLIT($A23, "".""),2), Rarity_Bonus_Levels_[[Identifier]:[Bonus Lvls]], 2) - 1) * (Scaling!$E$5)"),59.0)</f>
        <v>59</v>
      </c>
      <c r="G23" s="203"/>
      <c r="H23" s="187"/>
      <c r="I23" s="203">
        <v>0.2</v>
      </c>
      <c r="J23" s="178"/>
      <c r="K23" s="90">
        <f>IFERROR(__xludf.DUMMYFUNCTION("1 + J23 + IF(REGEXMATCH(C23, Axe_Bonuses[[#HEADERS],[Mi]]), Axe_Bonuses[Mi])  + IF(REGEXMATCH(C23, Axe_Bonuses[[#HEADERS],[Re]]), Axe_Bonuses[Re], 0) + IF(REGEXMATCH(C23, Axe_Bonuses[[#HEADERS],[Tr1]]), Axe_Bonuses[Tr1], 0) + IF(REGEXMATCH(C23, Axe_Bonuse"&amp;"s[[#HEADERS],[Tr2]]), Axe_Bonuses[Tr2], 0)"),1.5)</f>
        <v>1.5</v>
      </c>
      <c r="L23" s="44">
        <f t="shared" si="1"/>
        <v>88.5</v>
      </c>
      <c r="M23" s="68">
        <f>$K23 * D23 / Axe_Bonuses[Stam/Dmg]</f>
        <v>18.77727273</v>
      </c>
      <c r="N23" s="44">
        <f>IFERROR(__xludf.DUMMYFUNCTION("IF(G23&gt;0, ($L23+$M23) * G23 * ($K23 + IF(AND(REGEXMATCH($C23, $B23), REGEXMATCH($C23,Axe_Bonuses[[#HEADERS],[Py]])), Axe_Bonuses[Py],) ) / $K23, 0)"),0.0)</f>
        <v>0</v>
      </c>
      <c r="O23" s="44">
        <f>IFERROR(__xludf.DUMMYFUNCTION("IF(H23&gt;0, ($L23+$M23) * H23 * ($K23 + IF(AND(REGEXMATCH($C23, $B23), REGEXMATCH($C23,Axe_Bonuses[[#HEADERS],[He]])), Axe_Bonuses[He],) ) / $K23, 0)"),0.0)</f>
        <v>0</v>
      </c>
      <c r="P23" s="44">
        <f>IFERROR(__xludf.DUMMYFUNCTION("IF(I23&gt;0, ($L23+$M23) * I23 * ($K23 + IF(AND(REGEXMATCH($C23, $B23), REGEXMATCH($C23,Axe_Bonuses[[#HEADERS],[Vo]])), Axe_Bonuses[Vo],) ) / $K23, 0)"),21.455454545454547)</f>
        <v>21.45545455</v>
      </c>
      <c r="Q23" s="68">
        <f>$K23 *E23 / Axe_Bonuses[Mag/Dmg]</f>
        <v>5.454545455</v>
      </c>
      <c r="R23" s="44">
        <f>IFERROR(__xludf.DUMMYFUNCTION("IF(G23&gt;0, ($L23+$Q23) * G23 * ($K23 + IF(AND(REGEXMATCH($C23, $B23), REGEXMATCH($C23,Axe_Bonuses[[#HEADERS],[Py]])), Axe_Bonuses[Py],) ) / $K23, 0)"),0.0)</f>
        <v>0</v>
      </c>
      <c r="S23" s="44">
        <f>IFERROR(__xludf.DUMMYFUNCTION("IF(H23&gt;0, ($L23+$Q23) * H23 * ($K23 + IF(AND(REGEXMATCH($C23, $B23), REGEXMATCH($C23,Axe_Bonuses[[#HEADERS],[He]])), Axe_Bonuses[He],) ) / $K23, 0)"),0.0)</f>
        <v>0</v>
      </c>
      <c r="T23" s="44">
        <f>IFERROR(__xludf.DUMMYFUNCTION("IF(I23&gt;0, ($L23+$Q23) * I23 * ($K23 + IF(AND(REGEXMATCH($C23, $B23), REGEXMATCH($C23,Axe_Bonuses[[#HEADERS],[Vo]])), Axe_Bonuses[Vo],) ) / $K23, 0)"),18.790909090909093)</f>
        <v>18.79090909</v>
      </c>
      <c r="U23" s="64">
        <f t="shared" si="2"/>
        <v>128.7327273</v>
      </c>
      <c r="V23" s="65"/>
      <c r="W23" s="69" t="str">
        <f t="shared" si="3"/>
        <v/>
      </c>
      <c r="X23" s="93">
        <f>IFERROR(__xludf.DUMMYFUNCTION("Axe_Bonuses[Special
Mult] * ((L23 + Q23) * (K23 + IF(REGEXMATCH(C23, B23), If(REGEXMATCH(C23, Axe_Bonuses[[#HEADERS],[Py]]), Axe_Bonuses[Py], 0) + If(REGEXMATCH(C23, Axe_Bonuses[[#HEADERS],[He]]), Axe_Bonuses[He], 0) + If(REGEXMATCH(C23, Axe_Bonuses[[#HEA"&amp;"DERS],[Vo]]), Axe_Bonuses[Vo], 0), 0)) / K23 + SUM(R23:T23))"),87.69090909090909)</f>
        <v>87.69090909</v>
      </c>
      <c r="Y23" s="93"/>
      <c r="Z23" s="72" t="str">
        <f t="shared" si="4"/>
        <v/>
      </c>
    </row>
    <row r="24" ht="22.5" customHeight="1">
      <c r="A24" s="216" t="s">
        <v>105</v>
      </c>
      <c r="B24" s="218" t="s">
        <v>23</v>
      </c>
      <c r="C24" s="211" t="s">
        <v>107</v>
      </c>
      <c r="D24" s="223">
        <f>IFERROR(__xludf.DUMMYFUNCTION("200 + Scaling!$E$6 + Scaling!$C$15 + (INDEX(SPLIT($A24, "".""),3) + VLOOKUP(INDEX(SPLIT($A24, "".""),2), Rarity_Bonus_Levels_[[Identifier]:[Bonus Lvls]], 2) - 1) * (Scaling!$E$7 + Scaling!$C$16)"),550.8)</f>
        <v>550.8</v>
      </c>
      <c r="E24" s="224">
        <f t="shared" si="5"/>
        <v>200</v>
      </c>
      <c r="F24" s="226">
        <f>IFERROR(__xludf.DUMMYFUNCTION("Scaling!$E$4 + (INDEX(SPLIT($A24, "".""),3) + VLOOKUP(INDEX(SPLIT($A24, "".""),2), Rarity_Bonus_Levels_[[Identifier]:[Bonus Lvls]], 2) - 1) * (Scaling!$E$5)"),59.0)</f>
        <v>59</v>
      </c>
      <c r="G24" s="228"/>
      <c r="H24" s="228"/>
      <c r="I24" s="228"/>
      <c r="J24" s="229"/>
      <c r="K24" s="200">
        <f>IFERROR(__xludf.DUMMYFUNCTION("1 + J24 + IF(REGEXMATCH(C24, Axe_Bonuses[[#HEADERS],[Mi]]), Axe_Bonuses[Mi])  + IF(REGEXMATCH(C24, Axe_Bonuses[[#HEADERS],[Re]]), Axe_Bonuses[Re], 0) + IF(REGEXMATCH(C24, Axe_Bonuses[[#HEADERS],[Tr1]]), Axe_Bonuses[Tr1], 0) + IF(REGEXMATCH(C24, Axe_Bonuse"&amp;"s[[#HEADERS],[Tr2]]), Axe_Bonuses[Tr2], 0)"),1.5)</f>
        <v>1.5</v>
      </c>
      <c r="L24" s="158">
        <f t="shared" si="1"/>
        <v>88.5</v>
      </c>
      <c r="M24" s="160">
        <f>$K24 * D24 / Axe_Bonuses[Stam/Dmg]</f>
        <v>18.77727273</v>
      </c>
      <c r="N24" s="158">
        <f>IFERROR(__xludf.DUMMYFUNCTION("IF(G24&gt;0, ($L24+$M24) * G24 * ($K24 + IF(AND(REGEXMATCH($C24, $B24), REGEXMATCH($C24,Axe_Bonuses[[#HEADERS],[Py]])), Axe_Bonuses[Py],) ) / $K24, 0)"),0.0)</f>
        <v>0</v>
      </c>
      <c r="O24" s="158">
        <f>IFERROR(__xludf.DUMMYFUNCTION("IF(H24&gt;0, ($L24+$M24) * H24 * ($K24 + IF(AND(REGEXMATCH($C24, $B24), REGEXMATCH($C24,Axe_Bonuses[[#HEADERS],[He]])), Axe_Bonuses[He],) ) / $K24, 0)"),0.0)</f>
        <v>0</v>
      </c>
      <c r="P24" s="158">
        <f>IFERROR(__xludf.DUMMYFUNCTION("IF(I24&gt;0, ($L24+$M24) * I24 * ($K24 + IF(AND(REGEXMATCH($C24, $B24), REGEXMATCH($C24,Axe_Bonuses[[#HEADERS],[Vo]])), Axe_Bonuses[Vo],) ) / $K24, 0)"),0.0)</f>
        <v>0</v>
      </c>
      <c r="Q24" s="160">
        <f>$K24 *E24 / Axe_Bonuses[Mag/Dmg]</f>
        <v>5.454545455</v>
      </c>
      <c r="R24" s="158">
        <f>IFERROR(__xludf.DUMMYFUNCTION("IF(G24&gt;0, ($L24+$Q24) * G24 * ($K24 + IF(AND(REGEXMATCH($C24, $B24), REGEXMATCH($C24,Axe_Bonuses[[#HEADERS],[Py]])), Axe_Bonuses[Py],) ) / $K24, 0)"),0.0)</f>
        <v>0</v>
      </c>
      <c r="S24" s="158">
        <f>IFERROR(__xludf.DUMMYFUNCTION("IF(H24&gt;0, ($L24+$Q24) * H24 * ($K24 + IF(AND(REGEXMATCH($C24, $B24), REGEXMATCH($C24,Axe_Bonuses[[#HEADERS],[He]])), Axe_Bonuses[He],) ) / $K24, 0)"),0.0)</f>
        <v>0</v>
      </c>
      <c r="T24" s="158">
        <f>IFERROR(__xludf.DUMMYFUNCTION("IF(I24&gt;0, ($L24+$Q24) * I24 * ($K24 + IF(AND(REGEXMATCH($C24, $B24), REGEXMATCH($C24,Axe_Bonuses[[#HEADERS],[Vo]])), Axe_Bonuses[Vo],) ) / $K24, 0)"),0.0)</f>
        <v>0</v>
      </c>
      <c r="U24" s="162">
        <f t="shared" si="2"/>
        <v>107.2772727</v>
      </c>
      <c r="V24" s="237"/>
      <c r="W24" s="163" t="str">
        <f t="shared" si="3"/>
        <v/>
      </c>
      <c r="X24" s="205">
        <f>IFERROR(__xludf.DUMMYFUNCTION("Axe_Bonuses[Special
Mult] * ((L24 + Q24) * (K24 + IF(REGEXMATCH(C24, B24), If(REGEXMATCH(C24, Axe_Bonuses[[#HEADERS],[Py]]), Axe_Bonuses[Py], 0) + If(REGEXMATCH(C24, Axe_Bonuses[[#HEADERS],[He]]), Axe_Bonuses[He], 0) + If(REGEXMATCH(C24, Axe_Bonuses[[#HEA"&amp;"DERS],[Vo]]), Axe_Bonuses[Vo], 0), 0)) / K24 + SUM(R24:T24))"),74.53727272727272)</f>
        <v>74.53727273</v>
      </c>
      <c r="Y24" s="205"/>
      <c r="Z24" s="166" t="str">
        <f t="shared" si="4"/>
        <v/>
      </c>
    </row>
    <row r="25" ht="22.5" customHeight="1">
      <c r="A25" s="245" t="s">
        <v>79</v>
      </c>
      <c r="B25" s="168" t="s">
        <v>23</v>
      </c>
      <c r="C25" s="168" t="s">
        <v>107</v>
      </c>
      <c r="D25" s="247">
        <f>IFERROR(__xludf.DUMMYFUNCTION("200 + Scaling!$E$6 + Scaling!$C$15 + (INDEX(SPLIT($A25, "".""),3) + VLOOKUP(INDEX(SPLIT($A25, "".""),2), Rarity_Bonus_Levels_[[Identifier]:[Bonus Lvls]], 2) - 1) * (Scaling!$E$7 + Scaling!$C$16)"),1011.6)</f>
        <v>1011.6</v>
      </c>
      <c r="E25" s="247">
        <f t="shared" si="5"/>
        <v>200</v>
      </c>
      <c r="F25" s="248">
        <f>IFERROR(__xludf.DUMMYFUNCTION("Scaling!$E$4 + (INDEX(SPLIT($A25, "".""),3) + VLOOKUP(INDEX(SPLIT($A25, "".""),2), Rarity_Bonus_Levels_[[Identifier]:[Bonus Lvls]], 2) - 1) * (Scaling!$E$5)"),155.0)</f>
        <v>155</v>
      </c>
      <c r="G25" s="174">
        <v>0.08</v>
      </c>
      <c r="H25" s="174">
        <v>0.08</v>
      </c>
      <c r="I25" s="174">
        <v>0.08</v>
      </c>
      <c r="J25" s="249">
        <v>0.3</v>
      </c>
      <c r="K25" s="250">
        <f>IFERROR(__xludf.DUMMYFUNCTION("1 + J25 + IF(REGEXMATCH(C25, Axe_Bonuses[[#HEADERS],[Mi]]), Axe_Bonuses[Mi])  + IF(REGEXMATCH(C25, Axe_Bonuses[[#HEADERS],[Re]]), Axe_Bonuses[Re], 0) + IF(REGEXMATCH(C25, Axe_Bonuses[[#HEADERS],[Tr1]]), Axe_Bonuses[Tr1], 0) + IF(REGEXMATCH(C25, Axe_Bonuse"&amp;"s[[#HEADERS],[Tr2]]), Axe_Bonuses[Tr2], 0)"),1.8)</f>
        <v>1.8</v>
      </c>
      <c r="L25" s="251">
        <f t="shared" si="1"/>
        <v>279</v>
      </c>
      <c r="M25" s="252">
        <f>$K25 * D25 / Axe_Bonuses[Stam/Dmg]</f>
        <v>41.38363636</v>
      </c>
      <c r="N25" s="44">
        <f>IFERROR(__xludf.DUMMYFUNCTION("IF(G25&gt;0, ($L25+$M25) * G25 * ($K25 + IF(AND(REGEXMATCH($C25, $B25), REGEXMATCH($C25,Axe_Bonuses[[#HEADERS],[Py]])), Axe_Bonuses[Py],) ) / $K25, 0)"),25.63069090909091)</f>
        <v>25.63069091</v>
      </c>
      <c r="O25" s="44">
        <f>IFERROR(__xludf.DUMMYFUNCTION("IF(H25&gt;0, ($L25+$M25) * H25 * ($K25 + IF(AND(REGEXMATCH($C25, $B25), REGEXMATCH($C25,Axe_Bonuses[[#HEADERS],[He]])), Axe_Bonuses[He],) ) / $K25, 0)"),28.478545454545454)</f>
        <v>28.47854545</v>
      </c>
      <c r="P25" s="44">
        <f>IFERROR(__xludf.DUMMYFUNCTION("IF(I25&gt;0, ($L25+$M25) * I25 * ($K25 + IF(AND(REGEXMATCH($C25, $B25), REGEXMATCH($C25,Axe_Bonuses[[#HEADERS],[Vo]])), Axe_Bonuses[Vo],) ) / $K25, 0)"),25.63069090909091)</f>
        <v>25.63069091</v>
      </c>
      <c r="Q25" s="68">
        <f>$K25 *E25 / Axe_Bonuses[Mag/Dmg]</f>
        <v>6.545454545</v>
      </c>
      <c r="R25" s="251">
        <f>IFERROR(__xludf.DUMMYFUNCTION("IF(G25&gt;0, ($L25+$Q25) * G25 * ($K25 + IF(AND(REGEXMATCH($C25, $B25), REGEXMATCH($C25,Axe_Bonuses[[#HEADERS],[Py]])), Axe_Bonuses[Py],) ) / $K25, 0)"),22.843636363636364)</f>
        <v>22.84363636</v>
      </c>
      <c r="S25" s="251">
        <f>IFERROR(__xludf.DUMMYFUNCTION("IF(H25&gt;0, ($L25+$Q25) * H25 * ($K25 + IF(AND(REGEXMATCH($C25, $B25), REGEXMATCH($C25,Axe_Bonuses[[#HEADERS],[He]])), Axe_Bonuses[He],) ) / $K25, 0)"),25.381818181818183)</f>
        <v>25.38181818</v>
      </c>
      <c r="T25" s="44">
        <f>IFERROR(__xludf.DUMMYFUNCTION("IF(I25&gt;0, ($L25+$Q25) * I25 * ($K25 + IF(AND(REGEXMATCH($C25, $B25), REGEXMATCH($C25,Axe_Bonuses[[#HEADERS],[Vo]])), Axe_Bonuses[Vo],) ) / $K25, 0)"),22.843636363636364)</f>
        <v>22.84363636</v>
      </c>
      <c r="U25" s="64">
        <f t="shared" si="2"/>
        <v>400.1235636</v>
      </c>
      <c r="V25" s="254"/>
      <c r="W25" s="255" t="str">
        <f t="shared" si="3"/>
        <v/>
      </c>
      <c r="X25" s="257">
        <f>IFERROR(__xludf.DUMMYFUNCTION("Axe_Bonuses[Special
Mult] * ((L25 + Q25) * (K25 + IF(REGEXMATCH(C25, B25), If(REGEXMATCH(C25, Axe_Bonuses[[#HEADERS],[Py]]), Axe_Bonuses[Py], 0) + If(REGEXMATCH(C25, Axe_Bonuses[[#HEADERS],[He]]), Axe_Bonuses[He], 0) + If(REGEXMATCH(C25, Axe_Bonuses[[#HEA"&amp;"DERS],[Vo]]), Axe_Bonuses[Vo], 0), 0)) / K25 + SUM(R25:T25))"),271.8392727272727)</f>
        <v>271.8392727</v>
      </c>
      <c r="Y25" s="257"/>
      <c r="Z25" s="258" t="str">
        <f t="shared" si="4"/>
        <v/>
      </c>
    </row>
    <row r="26" ht="22.5" customHeight="1">
      <c r="A26" s="259" t="s">
        <v>79</v>
      </c>
      <c r="B26" s="185" t="s">
        <v>23</v>
      </c>
      <c r="C26" s="101" t="s">
        <v>107</v>
      </c>
      <c r="D26" s="247">
        <f>IFERROR(__xludf.DUMMYFUNCTION("200 + Scaling!$E$6 + Scaling!$C$15 + (INDEX(SPLIT($A26, "".""),3) + VLOOKUP(INDEX(SPLIT($A26, "".""),2), Rarity_Bonus_Levels_[[Identifier]:[Bonus Lvls]], 2) - 1) * (Scaling!$E$7 + Scaling!$C$16)"),1011.6)</f>
        <v>1011.6</v>
      </c>
      <c r="E26" s="260">
        <f t="shared" si="5"/>
        <v>200</v>
      </c>
      <c r="F26" s="248">
        <f>IFERROR(__xludf.DUMMYFUNCTION("Scaling!$E$4 + (INDEX(SPLIT($A26, "".""),3) + VLOOKUP(INDEX(SPLIT($A26, "".""),2), Rarity_Bonus_Levels_[[Identifier]:[Bonus Lvls]], 2) - 1) * (Scaling!$E$5)"),155.0)</f>
        <v>155</v>
      </c>
      <c r="G26" s="187"/>
      <c r="H26" s="188">
        <v>0.2</v>
      </c>
      <c r="I26" s="189"/>
      <c r="J26" s="244">
        <v>0.3</v>
      </c>
      <c r="K26" s="90">
        <f>IFERROR(__xludf.DUMMYFUNCTION("1 + J26 + IF(REGEXMATCH(C26, Axe_Bonuses[[#HEADERS],[Mi]]), Axe_Bonuses[Mi])  + IF(REGEXMATCH(C26, Axe_Bonuses[[#HEADERS],[Re]]), Axe_Bonuses[Re], 0) + IF(REGEXMATCH(C26, Axe_Bonuses[[#HEADERS],[Tr1]]), Axe_Bonuses[Tr1], 0) + IF(REGEXMATCH(C26, Axe_Bonuse"&amp;"s[[#HEADERS],[Tr2]]), Axe_Bonuses[Tr2], 0)"),1.8)</f>
        <v>1.8</v>
      </c>
      <c r="L26" s="44">
        <f t="shared" si="1"/>
        <v>279</v>
      </c>
      <c r="M26" s="68">
        <f>$K26 * D26 / Axe_Bonuses[Stam/Dmg]</f>
        <v>41.38363636</v>
      </c>
      <c r="N26" s="44">
        <f>IFERROR(__xludf.DUMMYFUNCTION("IF(G26&gt;0, ($L26+$M26) * G26 * ($K26 + IF(AND(REGEXMATCH($C26, $B26), REGEXMATCH($C26,Axe_Bonuses[[#HEADERS],[Py]])), Axe_Bonuses[Py],) ) / $K26, 0)"),0.0)</f>
        <v>0</v>
      </c>
      <c r="O26" s="44">
        <f>IFERROR(__xludf.DUMMYFUNCTION("IF(H26&gt;0, ($L26+$M26) * H26 * ($K26 + IF(AND(REGEXMATCH($C26, $B26), REGEXMATCH($C26,Axe_Bonuses[[#HEADERS],[He]])), Axe_Bonuses[He],) ) / $K26, 0)"),71.19636363636363)</f>
        <v>71.19636364</v>
      </c>
      <c r="P26" s="44">
        <f>IFERROR(__xludf.DUMMYFUNCTION("IF(I26&gt;0, ($L26+$M26) * I26 * ($K26 + IF(AND(REGEXMATCH($C26, $B26), REGEXMATCH($C26,Axe_Bonuses[[#HEADERS],[Vo]])), Axe_Bonuses[Vo],) ) / $K26, 0)"),0.0)</f>
        <v>0</v>
      </c>
      <c r="Q26" s="68">
        <f>$K26 *E26 / Axe_Bonuses[Mag/Dmg]</f>
        <v>6.545454545</v>
      </c>
      <c r="R26" s="44">
        <f>IFERROR(__xludf.DUMMYFUNCTION("IF(G26&gt;0, ($L26+$Q26) * G26 * ($K26 + IF(AND(REGEXMATCH($C26, $B26), REGEXMATCH($C26,Axe_Bonuses[[#HEADERS],[Py]])), Axe_Bonuses[Py],) ) / $K26, 0)"),0.0)</f>
        <v>0</v>
      </c>
      <c r="S26" s="44">
        <f>IFERROR(__xludf.DUMMYFUNCTION("IF(H26&gt;0, ($L26+$Q26) * H26 * ($K26 + IF(AND(REGEXMATCH($C26, $B26), REGEXMATCH($C26,Axe_Bonuses[[#HEADERS],[He]])), Axe_Bonuses[He],) ) / $K26, 0)"),63.45454545454546)</f>
        <v>63.45454545</v>
      </c>
      <c r="T26" s="44">
        <f>IFERROR(__xludf.DUMMYFUNCTION("IF(I26&gt;0, ($L26+$Q26) * I26 * ($K26 + IF(AND(REGEXMATCH($C26, $B26), REGEXMATCH($C26,Axe_Bonuses[[#HEADERS],[Vo]])), Axe_Bonuses[Vo],) ) / $K26, 0)"),0.0)</f>
        <v>0</v>
      </c>
      <c r="U26" s="64">
        <f t="shared" si="2"/>
        <v>391.58</v>
      </c>
      <c r="V26" s="65"/>
      <c r="W26" s="69" t="str">
        <f t="shared" si="3"/>
        <v/>
      </c>
      <c r="X26" s="93">
        <f>IFERROR(__xludf.DUMMYFUNCTION("Axe_Bonuses[Special
Mult] * ((L26 + Q26) * (K26 + IF(REGEXMATCH(C26, B26), If(REGEXMATCH(C26, Axe_Bonuses[[#HEADERS],[Py]]), Axe_Bonuses[Py], 0) + If(REGEXMATCH(C26, Axe_Bonuses[[#HEADERS],[He]]), Axe_Bonuses[He], 0) + If(REGEXMATCH(C26, Axe_Bonuses[[#HEA"&amp;"DERS],[Vo]]), Axe_Bonuses[Vo], 0), 0)) / K26 + SUM(R26:T26))"),266.5090909090909)</f>
        <v>266.5090909</v>
      </c>
      <c r="Y26" s="93"/>
      <c r="Z26" s="72" t="str">
        <f t="shared" si="4"/>
        <v/>
      </c>
    </row>
    <row r="27" ht="22.5" customHeight="1">
      <c r="A27" s="106" t="s">
        <v>79</v>
      </c>
      <c r="B27" s="108" t="s">
        <v>23</v>
      </c>
      <c r="C27" s="108" t="s">
        <v>107</v>
      </c>
      <c r="D27" s="247">
        <f>IFERROR(__xludf.DUMMYFUNCTION("200 + Scaling!$E$6 + Scaling!$C$15 + (INDEX(SPLIT($A27, "".""),3) + VLOOKUP(INDEX(SPLIT($A27, "".""),2), Rarity_Bonus_Levels_[[Identifier]:[Bonus Lvls]], 2) - 1) * (Scaling!$E$7 + Scaling!$C$16)"),1011.6)</f>
        <v>1011.6</v>
      </c>
      <c r="E27" s="260">
        <f t="shared" si="5"/>
        <v>200</v>
      </c>
      <c r="F27" s="248">
        <f>IFERROR(__xludf.DUMMYFUNCTION("Scaling!$E$4 + (INDEX(SPLIT($A27, "".""),3) + VLOOKUP(INDEX(SPLIT($A27, "".""),2), Rarity_Bonus_Levels_[[Identifier]:[Bonus Lvls]], 2) - 1) * (Scaling!$E$5)"),155.0)</f>
        <v>155</v>
      </c>
      <c r="G27" s="203"/>
      <c r="H27" s="187"/>
      <c r="I27" s="203">
        <v>0.2</v>
      </c>
      <c r="J27" s="256">
        <v>0.3</v>
      </c>
      <c r="K27" s="90">
        <f>IFERROR(__xludf.DUMMYFUNCTION("1 + J27 + IF(REGEXMATCH(C27, Axe_Bonuses[[#HEADERS],[Mi]]), Axe_Bonuses[Mi])  + IF(REGEXMATCH(C27, Axe_Bonuses[[#HEADERS],[Re]]), Axe_Bonuses[Re], 0) + IF(REGEXMATCH(C27, Axe_Bonuses[[#HEADERS],[Tr1]]), Axe_Bonuses[Tr1], 0) + IF(REGEXMATCH(C27, Axe_Bonuse"&amp;"s[[#HEADERS],[Tr2]]), Axe_Bonuses[Tr2], 0)"),1.8)</f>
        <v>1.8</v>
      </c>
      <c r="L27" s="44">
        <f t="shared" si="1"/>
        <v>279</v>
      </c>
      <c r="M27" s="68">
        <f>$K27 * D27 / Axe_Bonuses[Stam/Dmg]</f>
        <v>41.38363636</v>
      </c>
      <c r="N27" s="44">
        <f>IFERROR(__xludf.DUMMYFUNCTION("IF(G27&gt;0, ($L27+$M27) * G27 * ($K27 + IF(AND(REGEXMATCH($C27, $B27), REGEXMATCH($C27,Axe_Bonuses[[#HEADERS],[Py]])), Axe_Bonuses[Py],) ) / $K27, 0)"),0.0)</f>
        <v>0</v>
      </c>
      <c r="O27" s="44">
        <f>IFERROR(__xludf.DUMMYFUNCTION("IF(H27&gt;0, ($L27+$M27) * H27 * ($K27 + IF(AND(REGEXMATCH($C27, $B27), REGEXMATCH($C27,Axe_Bonuses[[#HEADERS],[He]])), Axe_Bonuses[He],) ) / $K27, 0)"),0.0)</f>
        <v>0</v>
      </c>
      <c r="P27" s="44">
        <f>IFERROR(__xludf.DUMMYFUNCTION("IF(I27&gt;0, ($L27+$M27) * I27 * ($K27 + IF(AND(REGEXMATCH($C27, $B27), REGEXMATCH($C27,Axe_Bonuses[[#HEADERS],[Vo]])), Axe_Bonuses[Vo],) ) / $K27, 0)"),64.07672727272727)</f>
        <v>64.07672727</v>
      </c>
      <c r="Q27" s="68">
        <f>$K27 *E27 / Axe_Bonuses[Mag/Dmg]</f>
        <v>6.545454545</v>
      </c>
      <c r="R27" s="44">
        <f>IFERROR(__xludf.DUMMYFUNCTION("IF(G27&gt;0, ($L27+$Q27) * G27 * ($K27 + IF(AND(REGEXMATCH($C27, $B27), REGEXMATCH($C27,Axe_Bonuses[[#HEADERS],[Py]])), Axe_Bonuses[Py],) ) / $K27, 0)"),0.0)</f>
        <v>0</v>
      </c>
      <c r="S27" s="44">
        <f>IFERROR(__xludf.DUMMYFUNCTION("IF(H27&gt;0, ($L27+$Q27) * H27 * ($K27 + IF(AND(REGEXMATCH($C27, $B27), REGEXMATCH($C27,Axe_Bonuses[[#HEADERS],[He]])), Axe_Bonuses[He],) ) / $K27, 0)"),0.0)</f>
        <v>0</v>
      </c>
      <c r="T27" s="44">
        <f>IFERROR(__xludf.DUMMYFUNCTION("IF(I27&gt;0, ($L27+$Q27) * I27 * ($K27 + IF(AND(REGEXMATCH($C27, $B27), REGEXMATCH($C27,Axe_Bonuses[[#HEADERS],[Vo]])), Axe_Bonuses[Vo],) ) / $K27, 0)"),57.10909090909092)</f>
        <v>57.10909091</v>
      </c>
      <c r="U27" s="64">
        <f t="shared" si="2"/>
        <v>384.4603636</v>
      </c>
      <c r="V27" s="65"/>
      <c r="W27" s="69" t="str">
        <f t="shared" si="3"/>
        <v/>
      </c>
      <c r="X27" s="93">
        <f>IFERROR(__xludf.DUMMYFUNCTION("Axe_Bonuses[Special
Mult] * ((L27 + Q27) * (K27 + IF(REGEXMATCH(C27, B27), If(REGEXMATCH(C27, Axe_Bonuses[[#HEADERS],[Py]]), Axe_Bonuses[Py], 0) + If(REGEXMATCH(C27, Axe_Bonuses[[#HEADERS],[He]]), Axe_Bonuses[He], 0) + If(REGEXMATCH(C27, Axe_Bonuses[[#HEA"&amp;"DERS],[Vo]]), Axe_Bonuses[Vo], 0), 0)) / K27 + SUM(R27:T27))"),262.0672727272727)</f>
        <v>262.0672727</v>
      </c>
      <c r="Y27" s="93"/>
      <c r="Z27" s="72" t="str">
        <f t="shared" si="4"/>
        <v/>
      </c>
    </row>
    <row r="28" ht="22.5" customHeight="1">
      <c r="A28" s="268" t="s">
        <v>79</v>
      </c>
      <c r="B28" s="218" t="s">
        <v>23</v>
      </c>
      <c r="C28" s="211" t="s">
        <v>107</v>
      </c>
      <c r="D28" s="223">
        <f>IFERROR(__xludf.DUMMYFUNCTION("200 + Scaling!$E$6 + Scaling!$C$15 + (INDEX(SPLIT($A28, "".""),3) + VLOOKUP(INDEX(SPLIT($A28, "".""),2), Rarity_Bonus_Levels_[[Identifier]:[Bonus Lvls]], 2) - 1) * (Scaling!$E$7 + Scaling!$C$16)"),1011.6)</f>
        <v>1011.6</v>
      </c>
      <c r="E28" s="270">
        <f t="shared" si="5"/>
        <v>200</v>
      </c>
      <c r="F28" s="226">
        <f>IFERROR(__xludf.DUMMYFUNCTION("Scaling!$E$4 + (INDEX(SPLIT($A28, "".""),3) + VLOOKUP(INDEX(SPLIT($A28, "".""),2), Rarity_Bonus_Levels_[[Identifier]:[Bonus Lvls]], 2) - 1) * (Scaling!$E$5)"),155.0)</f>
        <v>155</v>
      </c>
      <c r="G28" s="228"/>
      <c r="H28" s="228"/>
      <c r="I28" s="228"/>
      <c r="J28" s="264">
        <v>0.3</v>
      </c>
      <c r="K28" s="200">
        <f>IFERROR(__xludf.DUMMYFUNCTION("1 + J28 + IF(REGEXMATCH(C28, Axe_Bonuses[[#HEADERS],[Mi]]), Axe_Bonuses[Mi])  + IF(REGEXMATCH(C28, Axe_Bonuses[[#HEADERS],[Re]]), Axe_Bonuses[Re], 0) + IF(REGEXMATCH(C28, Axe_Bonuses[[#HEADERS],[Tr1]]), Axe_Bonuses[Tr1], 0) + IF(REGEXMATCH(C28, Axe_Bonuse"&amp;"s[[#HEADERS],[Tr2]]), Axe_Bonuses[Tr2], 0)"),1.8)</f>
        <v>1.8</v>
      </c>
      <c r="L28" s="158">
        <f t="shared" si="1"/>
        <v>279</v>
      </c>
      <c r="M28" s="160">
        <f>$K28 * D28 / Axe_Bonuses[Stam/Dmg]</f>
        <v>41.38363636</v>
      </c>
      <c r="N28" s="158">
        <f>IFERROR(__xludf.DUMMYFUNCTION("IF(G28&gt;0, ($L28+$M28) * G28 * ($K28 + IF(AND(REGEXMATCH($C28, $B28), REGEXMATCH($C28,Axe_Bonuses[[#HEADERS],[Py]])), Axe_Bonuses[Py],) ) / $K28, 0)"),0.0)</f>
        <v>0</v>
      </c>
      <c r="O28" s="158">
        <f>IFERROR(__xludf.DUMMYFUNCTION("IF(H28&gt;0, ($L28+$M28) * H28 * ($K28 + IF(AND(REGEXMATCH($C28, $B28), REGEXMATCH($C28,Axe_Bonuses[[#HEADERS],[He]])), Axe_Bonuses[He],) ) / $K28, 0)"),0.0)</f>
        <v>0</v>
      </c>
      <c r="P28" s="158">
        <f>IFERROR(__xludf.DUMMYFUNCTION("IF(I28&gt;0, ($L28+$M28) * I28 * ($K28 + IF(AND(REGEXMATCH($C28, $B28), REGEXMATCH($C28,Axe_Bonuses[[#HEADERS],[Vo]])), Axe_Bonuses[Vo],) ) / $K28, 0)"),0.0)</f>
        <v>0</v>
      </c>
      <c r="Q28" s="160">
        <f>$K28 *E28 / Axe_Bonuses[Mag/Dmg]</f>
        <v>6.545454545</v>
      </c>
      <c r="R28" s="158">
        <f>IFERROR(__xludf.DUMMYFUNCTION("IF(G28&gt;0, ($L28+$Q28) * G28 * ($K28 + IF(AND(REGEXMATCH($C28, $B28), REGEXMATCH($C28,Axe_Bonuses[[#HEADERS],[Py]])), Axe_Bonuses[Py],) ) / $K28, 0)"),0.0)</f>
        <v>0</v>
      </c>
      <c r="S28" s="158">
        <f>IFERROR(__xludf.DUMMYFUNCTION("IF(H28&gt;0, ($L28+$Q28) * H28 * ($K28 + IF(AND(REGEXMATCH($C28, $B28), REGEXMATCH($C28,Axe_Bonuses[[#HEADERS],[He]])), Axe_Bonuses[He],) ) / $K28, 0)"),0.0)</f>
        <v>0</v>
      </c>
      <c r="T28" s="158">
        <f>IFERROR(__xludf.DUMMYFUNCTION("IF(I28&gt;0, ($L28+$Q28) * I28 * ($K28 + IF(AND(REGEXMATCH($C28, $B28), REGEXMATCH($C28,Axe_Bonuses[[#HEADERS],[Vo]])), Axe_Bonuses[Vo],) ) / $K28, 0)"),0.0)</f>
        <v>0</v>
      </c>
      <c r="U28" s="162">
        <f t="shared" si="2"/>
        <v>320.3836364</v>
      </c>
      <c r="V28" s="237"/>
      <c r="W28" s="163" t="str">
        <f t="shared" si="3"/>
        <v/>
      </c>
      <c r="X28" s="205">
        <f>IFERROR(__xludf.DUMMYFUNCTION("Axe_Bonuses[Special
Mult] * ((L28 + Q28) * (K28 + IF(REGEXMATCH(C28, B28), If(REGEXMATCH(C28, Axe_Bonuses[[#HEADERS],[Py]]), Axe_Bonuses[Py], 0) + If(REGEXMATCH(C28, Axe_Bonuses[[#HEADERS],[He]]), Axe_Bonuses[He], 0) + If(REGEXMATCH(C28, Axe_Bonuses[[#HEA"&amp;"DERS],[Vo]]), Axe_Bonuses[Vo], 0), 0)) / K28 + SUM(R28:T28))"),222.0909090909091)</f>
        <v>222.0909091</v>
      </c>
      <c r="Y28" s="205"/>
      <c r="Z28" s="166" t="str">
        <f t="shared" si="4"/>
        <v/>
      </c>
    </row>
    <row r="29" ht="22.5" customHeight="1">
      <c r="A29" s="106" t="s">
        <v>111</v>
      </c>
      <c r="B29" s="108" t="s">
        <v>23</v>
      </c>
      <c r="C29" s="108" t="s">
        <v>107</v>
      </c>
      <c r="D29" s="247">
        <f>IFERROR(__xludf.DUMMYFUNCTION("200 + Scaling!$E$6 + Scaling!$C$15 + (INDEX(SPLIT($A29, "".""),3) + VLOOKUP(INDEX(SPLIT($A29, "".""),2), Rarity_Bonus_Levels_[[Identifier]:[Bonus Lvls]], 2) - 1) * (Scaling!$E$7 + Scaling!$C$16)"),2451.6)</f>
        <v>2451.6</v>
      </c>
      <c r="E29" s="247">
        <f t="shared" si="5"/>
        <v>200</v>
      </c>
      <c r="F29" s="248">
        <f>IFERROR(__xludf.DUMMYFUNCTION("Scaling!$E$4 + (INDEX(SPLIT($A29, "".""),3) + VLOOKUP(INDEX(SPLIT($A29, "".""),2), Rarity_Bonus_Levels_[[Identifier]:[Bonus Lvls]], 2) - 1) * (Scaling!$E$5)"),455.0)</f>
        <v>455</v>
      </c>
      <c r="G29" s="57">
        <v>0.08</v>
      </c>
      <c r="H29" s="57">
        <v>0.08</v>
      </c>
      <c r="I29" s="57">
        <v>0.08</v>
      </c>
      <c r="J29" s="256">
        <v>0.3</v>
      </c>
      <c r="K29" s="90">
        <f>IFERROR(__xludf.DUMMYFUNCTION("1 + J29 + IF(REGEXMATCH(C29, Axe_Bonuses[[#HEADERS],[Mi]]), Axe_Bonuses[Mi])  + IF(REGEXMATCH(C29, Axe_Bonuses[[#HEADERS],[Re]]), Axe_Bonuses[Re], 0) + IF(REGEXMATCH(C29, Axe_Bonuses[[#HEADERS],[Tr1]]), Axe_Bonuses[Tr1], 0) + IF(REGEXMATCH(C29, Axe_Bonuse"&amp;"s[[#HEADERS],[Tr2]]), Axe_Bonuses[Tr2], 0)"),1.8)</f>
        <v>1.8</v>
      </c>
      <c r="L29" s="44">
        <f t="shared" si="1"/>
        <v>819</v>
      </c>
      <c r="M29" s="68">
        <f>$K29 * D29 / Axe_Bonuses[Stam/Dmg]</f>
        <v>100.2927273</v>
      </c>
      <c r="N29" s="44">
        <f>IFERROR(__xludf.DUMMYFUNCTION("IF(G29&gt;0, ($L29+$M29) * G29 * ($K29 + IF(AND(REGEXMATCH($C29, $B29), REGEXMATCH($C29,Axe_Bonuses[[#HEADERS],[Py]])), Axe_Bonuses[Py],) ) / $K29, 0)"),73.54341818181818)</f>
        <v>73.54341818</v>
      </c>
      <c r="O29" s="44">
        <f>IFERROR(__xludf.DUMMYFUNCTION("IF(H29&gt;0, ($L29+$M29) * H29 * ($K29 + IF(AND(REGEXMATCH($C29, $B29), REGEXMATCH($C29,Axe_Bonuses[[#HEADERS],[He]])), Axe_Bonuses[He],) ) / $K29, 0)"),81.71490909090909)</f>
        <v>81.71490909</v>
      </c>
      <c r="P29" s="44">
        <f>IFERROR(__xludf.DUMMYFUNCTION("IF(I29&gt;0, ($L29+$M29) * I29 * ($K29 + IF(AND(REGEXMATCH($C29, $B29), REGEXMATCH($C29,Axe_Bonuses[[#HEADERS],[Vo]])), Axe_Bonuses[Vo],) ) / $K29, 0)"),73.54341818181818)</f>
        <v>73.54341818</v>
      </c>
      <c r="Q29" s="68">
        <f>$K29 *E29 / Axe_Bonuses[Mag/Dmg]</f>
        <v>6.545454545</v>
      </c>
      <c r="R29" s="44">
        <f>IFERROR(__xludf.DUMMYFUNCTION("IF(G29&gt;0, ($L29+$Q29) * G29 * ($K29 + IF(AND(REGEXMATCH($C29, $B29), REGEXMATCH($C29,Axe_Bonuses[[#HEADERS],[Py]])), Axe_Bonuses[Py],) ) / $K29, 0)"),66.04363636363637)</f>
        <v>66.04363636</v>
      </c>
      <c r="S29" s="44">
        <f>IFERROR(__xludf.DUMMYFUNCTION("IF(H29&gt;0, ($L29+$Q29) * H29 * ($K29 + IF(AND(REGEXMATCH($C29, $B29), REGEXMATCH($C29,Axe_Bonuses[[#HEADERS],[He]])), Axe_Bonuses[He],) ) / $K29, 0)"),73.38181818181819)</f>
        <v>73.38181818</v>
      </c>
      <c r="T29" s="44">
        <f>IFERROR(__xludf.DUMMYFUNCTION("IF(I29&gt;0, ($L29+$Q29) * I29 * ($K29 + IF(AND(REGEXMATCH($C29, $B29), REGEXMATCH($C29,Axe_Bonuses[[#HEADERS],[Vo]])), Axe_Bonuses[Vo],) ) / $K29, 0)"),66.04363636363637)</f>
        <v>66.04363636</v>
      </c>
      <c r="U29" s="64">
        <f t="shared" si="2"/>
        <v>1148.094473</v>
      </c>
      <c r="V29" s="65"/>
      <c r="W29" s="69" t="str">
        <f t="shared" si="3"/>
        <v/>
      </c>
      <c r="X29" s="92">
        <f>IFERROR(__xludf.DUMMYFUNCTION("Axe_Bonuses[Special
Mult] * ((L29 + Q29) * (K29 + IF(REGEXMATCH(C29, B29), If(REGEXMATCH(C29, Axe_Bonuses[[#HEADERS],[Py]]), Axe_Bonuses[Py], 0) + If(REGEXMATCH(C29, Axe_Bonuses[[#HEADERS],[He]]), Axe_Bonuses[He], 0) + If(REGEXMATCH(C29, Axe_Bonuses[[#HEA"&amp;"DERS],[Vo]]), Axe_Bonuses[Vo], 0), 0)) / K29 + SUM(R29:T29))"),785.9192727272726)</f>
        <v>785.9192727</v>
      </c>
      <c r="Y29" s="92"/>
      <c r="Z29" s="72" t="str">
        <f t="shared" si="4"/>
        <v/>
      </c>
    </row>
    <row r="30" ht="22.5" customHeight="1">
      <c r="A30" s="259" t="s">
        <v>111</v>
      </c>
      <c r="B30" s="185" t="s">
        <v>23</v>
      </c>
      <c r="C30" s="101" t="s">
        <v>107</v>
      </c>
      <c r="D30" s="247">
        <f>IFERROR(__xludf.DUMMYFUNCTION("200 + Scaling!$E$6 + Scaling!$C$15 + (INDEX(SPLIT($A30, "".""),3) + VLOOKUP(INDEX(SPLIT($A30, "".""),2), Rarity_Bonus_Levels_[[Identifier]:[Bonus Lvls]], 2) - 1) * (Scaling!$E$7 + Scaling!$C$16)"),2451.6)</f>
        <v>2451.6</v>
      </c>
      <c r="E30" s="260">
        <f t="shared" si="5"/>
        <v>200</v>
      </c>
      <c r="F30" s="248">
        <f>IFERROR(__xludf.DUMMYFUNCTION("Scaling!$E$4 + (INDEX(SPLIT($A30, "".""),3) + VLOOKUP(INDEX(SPLIT($A30, "".""),2), Rarity_Bonus_Levels_[[Identifier]:[Bonus Lvls]], 2) - 1) * (Scaling!$E$5)"),455.0)</f>
        <v>455</v>
      </c>
      <c r="G30" s="187"/>
      <c r="H30" s="188">
        <v>0.2</v>
      </c>
      <c r="I30" s="189"/>
      <c r="J30" s="244">
        <v>0.3</v>
      </c>
      <c r="K30" s="90">
        <f>IFERROR(__xludf.DUMMYFUNCTION("1 + J30 + IF(REGEXMATCH(C30, Axe_Bonuses[[#HEADERS],[Mi]]), Axe_Bonuses[Mi])  + IF(REGEXMATCH(C30, Axe_Bonuses[[#HEADERS],[Re]]), Axe_Bonuses[Re], 0) + IF(REGEXMATCH(C30, Axe_Bonuses[[#HEADERS],[Tr1]]), Axe_Bonuses[Tr1], 0) + IF(REGEXMATCH(C30, Axe_Bonuse"&amp;"s[[#HEADERS],[Tr2]]), Axe_Bonuses[Tr2], 0)"),1.8)</f>
        <v>1.8</v>
      </c>
      <c r="L30" s="44">
        <f t="shared" si="1"/>
        <v>819</v>
      </c>
      <c r="M30" s="68">
        <f>$K30 * D30 / Axe_Bonuses[Stam/Dmg]</f>
        <v>100.2927273</v>
      </c>
      <c r="N30" s="44">
        <f>IFERROR(__xludf.DUMMYFUNCTION("IF(G30&gt;0, ($L30+$M30) * G30 * ($K30 + IF(AND(REGEXMATCH($C30, $B30), REGEXMATCH($C30,Axe_Bonuses[[#HEADERS],[Py]])), Axe_Bonuses[Py],) ) / $K30, 0)"),0.0)</f>
        <v>0</v>
      </c>
      <c r="O30" s="44">
        <f>IFERROR(__xludf.DUMMYFUNCTION("IF(H30&gt;0, ($L30+$M30) * H30 * ($K30 + IF(AND(REGEXMATCH($C30, $B30), REGEXMATCH($C30,Axe_Bonuses[[#HEADERS],[He]])), Axe_Bonuses[He],) ) / $K30, 0)"),204.28727272727272)</f>
        <v>204.2872727</v>
      </c>
      <c r="P30" s="44">
        <f>IFERROR(__xludf.DUMMYFUNCTION("IF(I30&gt;0, ($L30+$M30) * I30 * ($K30 + IF(AND(REGEXMATCH($C30, $B30), REGEXMATCH($C30,Axe_Bonuses[[#HEADERS],[Vo]])), Axe_Bonuses[Vo],) ) / $K30, 0)"),0.0)</f>
        <v>0</v>
      </c>
      <c r="Q30" s="68">
        <f>$K30 *E30 / Axe_Bonuses[Mag/Dmg]</f>
        <v>6.545454545</v>
      </c>
      <c r="R30" s="44">
        <f>IFERROR(__xludf.DUMMYFUNCTION("IF(G30&gt;0, ($L30+$Q30) * G30 * ($K30 + IF(AND(REGEXMATCH($C30, $B30), REGEXMATCH($C30,Axe_Bonuses[[#HEADERS],[Py]])), Axe_Bonuses[Py],) ) / $K30, 0)"),0.0)</f>
        <v>0</v>
      </c>
      <c r="S30" s="44">
        <f>IFERROR(__xludf.DUMMYFUNCTION("IF(H30&gt;0, ($L30+$Q30) * H30 * ($K30 + IF(AND(REGEXMATCH($C30, $B30), REGEXMATCH($C30,Axe_Bonuses[[#HEADERS],[He]])), Axe_Bonuses[He],) ) / $K30, 0)"),183.45454545454547)</f>
        <v>183.4545455</v>
      </c>
      <c r="T30" s="44">
        <f>IFERROR(__xludf.DUMMYFUNCTION("IF(I30&gt;0, ($L30+$Q30) * I30 * ($K30 + IF(AND(REGEXMATCH($C30, $B30), REGEXMATCH($C30,Axe_Bonuses[[#HEADERS],[Vo]])), Axe_Bonuses[Vo],) ) / $K30, 0)"),0.0)</f>
        <v>0</v>
      </c>
      <c r="U30" s="64">
        <f t="shared" si="2"/>
        <v>1123.58</v>
      </c>
      <c r="V30" s="65"/>
      <c r="W30" s="69" t="str">
        <f t="shared" si="3"/>
        <v/>
      </c>
      <c r="X30" s="92">
        <f>IFERROR(__xludf.DUMMYFUNCTION("Axe_Bonuses[Special
Mult] * ((L30 + Q30) * (K30 + IF(REGEXMATCH(C30, B30), If(REGEXMATCH(C30, Axe_Bonuses[[#HEADERS],[Py]]), Axe_Bonuses[Py], 0) + If(REGEXMATCH(C30, Axe_Bonuses[[#HEADERS],[He]]), Axe_Bonuses[He], 0) + If(REGEXMATCH(C30, Axe_Bonuses[[#HEA"&amp;"DERS],[Vo]]), Axe_Bonuses[Vo], 0), 0)) / K30 + SUM(R30:T30))"),770.5090909090909)</f>
        <v>770.5090909</v>
      </c>
      <c r="Y30" s="92"/>
      <c r="Z30" s="72" t="str">
        <f t="shared" si="4"/>
        <v/>
      </c>
    </row>
    <row r="31" ht="22.5" customHeight="1">
      <c r="A31" s="106" t="s">
        <v>111</v>
      </c>
      <c r="B31" s="108" t="s">
        <v>23</v>
      </c>
      <c r="C31" s="108" t="s">
        <v>107</v>
      </c>
      <c r="D31" s="247">
        <f>IFERROR(__xludf.DUMMYFUNCTION("200 + Scaling!$E$6 + Scaling!$C$15 + (INDEX(SPLIT($A31, "".""),3) + VLOOKUP(INDEX(SPLIT($A31, "".""),2), Rarity_Bonus_Levels_[[Identifier]:[Bonus Lvls]], 2) - 1) * (Scaling!$E$7 + Scaling!$C$16)"),2451.6)</f>
        <v>2451.6</v>
      </c>
      <c r="E31" s="260">
        <f t="shared" si="5"/>
        <v>200</v>
      </c>
      <c r="F31" s="248">
        <f>IFERROR(__xludf.DUMMYFUNCTION("Scaling!$E$4 + (INDEX(SPLIT($A31, "".""),3) + VLOOKUP(INDEX(SPLIT($A31, "".""),2), Rarity_Bonus_Levels_[[Identifier]:[Bonus Lvls]], 2) - 1) * (Scaling!$E$5)"),455.0)</f>
        <v>455</v>
      </c>
      <c r="G31" s="203"/>
      <c r="H31" s="187"/>
      <c r="I31" s="203">
        <v>0.2</v>
      </c>
      <c r="J31" s="256">
        <v>0.3</v>
      </c>
      <c r="K31" s="90">
        <f>IFERROR(__xludf.DUMMYFUNCTION("1 + J31 + IF(REGEXMATCH(C31, Axe_Bonuses[[#HEADERS],[Mi]]), Axe_Bonuses[Mi])  + IF(REGEXMATCH(C31, Axe_Bonuses[[#HEADERS],[Re]]), Axe_Bonuses[Re], 0) + IF(REGEXMATCH(C31, Axe_Bonuses[[#HEADERS],[Tr1]]), Axe_Bonuses[Tr1], 0) + IF(REGEXMATCH(C31, Axe_Bonuse"&amp;"s[[#HEADERS],[Tr2]]), Axe_Bonuses[Tr2], 0)"),1.8)</f>
        <v>1.8</v>
      </c>
      <c r="L31" s="44">
        <f t="shared" si="1"/>
        <v>819</v>
      </c>
      <c r="M31" s="68">
        <f>$K31 * D31 / Axe_Bonuses[Stam/Dmg]</f>
        <v>100.2927273</v>
      </c>
      <c r="N31" s="44">
        <f>IFERROR(__xludf.DUMMYFUNCTION("IF(G31&gt;0, ($L31+$M31) * G31 * ($K31 + IF(AND(REGEXMATCH($C31, $B31), REGEXMATCH($C31,Axe_Bonuses[[#HEADERS],[Py]])), Axe_Bonuses[Py],) ) / $K31, 0)"),0.0)</f>
        <v>0</v>
      </c>
      <c r="O31" s="44">
        <f>IFERROR(__xludf.DUMMYFUNCTION("IF(H31&gt;0, ($L31+$M31) * H31 * ($K31 + IF(AND(REGEXMATCH($C31, $B31), REGEXMATCH($C31,Axe_Bonuses[[#HEADERS],[He]])), Axe_Bonuses[He],) ) / $K31, 0)"),0.0)</f>
        <v>0</v>
      </c>
      <c r="P31" s="44">
        <f>IFERROR(__xludf.DUMMYFUNCTION("IF(I31&gt;0, ($L31+$M31) * I31 * ($K31 + IF(AND(REGEXMATCH($C31, $B31), REGEXMATCH($C31,Axe_Bonuses[[#HEADERS],[Vo]])), Axe_Bonuses[Vo],) ) / $K31, 0)"),183.85854545454546)</f>
        <v>183.8585455</v>
      </c>
      <c r="Q31" s="68">
        <f>$K31 *E31 / Axe_Bonuses[Mag/Dmg]</f>
        <v>6.545454545</v>
      </c>
      <c r="R31" s="44">
        <f>IFERROR(__xludf.DUMMYFUNCTION("IF(G31&gt;0, ($L31+$Q31) * G31 * ($K31 + IF(AND(REGEXMATCH($C31, $B31), REGEXMATCH($C31,Axe_Bonuses[[#HEADERS],[Py]])), Axe_Bonuses[Py],) ) / $K31, 0)"),0.0)</f>
        <v>0</v>
      </c>
      <c r="S31" s="44">
        <f>IFERROR(__xludf.DUMMYFUNCTION("IF(H31&gt;0, ($L31+$Q31) * H31 * ($K31 + IF(AND(REGEXMATCH($C31, $B31), REGEXMATCH($C31,Axe_Bonuses[[#HEADERS],[He]])), Axe_Bonuses[He],) ) / $K31, 0)"),0.0)</f>
        <v>0</v>
      </c>
      <c r="T31" s="44">
        <f>IFERROR(__xludf.DUMMYFUNCTION("IF(I31&gt;0, ($L31+$Q31) * I31 * ($K31 + IF(AND(REGEXMATCH($C31, $B31), REGEXMATCH($C31,Axe_Bonuses[[#HEADERS],[Vo]])), Axe_Bonuses[Vo],) ) / $K31, 0)"),165.10909090909092)</f>
        <v>165.1090909</v>
      </c>
      <c r="U31" s="64">
        <f t="shared" si="2"/>
        <v>1103.151273</v>
      </c>
      <c r="V31" s="65"/>
      <c r="W31" s="69" t="str">
        <f t="shared" si="3"/>
        <v/>
      </c>
      <c r="X31" s="92">
        <f>IFERROR(__xludf.DUMMYFUNCTION("Axe_Bonuses[Special
Mult] * ((L31 + Q31) * (K31 + IF(REGEXMATCH(C31, B31), If(REGEXMATCH(C31, Axe_Bonuses[[#HEADERS],[Py]]), Axe_Bonuses[Py], 0) + If(REGEXMATCH(C31, Axe_Bonuses[[#HEADERS],[He]]), Axe_Bonuses[He], 0) + If(REGEXMATCH(C31, Axe_Bonuses[[#HEA"&amp;"DERS],[Vo]]), Axe_Bonuses[Vo], 0), 0)) / K31 + SUM(R31:T31))"),757.6672727272728)</f>
        <v>757.6672727</v>
      </c>
      <c r="Y31" s="92"/>
      <c r="Z31" s="72" t="str">
        <f t="shared" si="4"/>
        <v/>
      </c>
    </row>
    <row r="32" ht="22.5" customHeight="1">
      <c r="A32" s="280" t="s">
        <v>111</v>
      </c>
      <c r="B32" s="281" t="s">
        <v>23</v>
      </c>
      <c r="C32" s="281" t="s">
        <v>107</v>
      </c>
      <c r="D32" s="223">
        <f>IFERROR(__xludf.DUMMYFUNCTION("200 + Scaling!$E$6 + Scaling!$C$15 + (INDEX(SPLIT($A32, "".""),3) + VLOOKUP(INDEX(SPLIT($A32, "".""),2), Rarity_Bonus_Levels_[[Identifier]:[Bonus Lvls]], 2) - 1) * (Scaling!$E$7 + Scaling!$C$16)"),2451.6)</f>
        <v>2451.6</v>
      </c>
      <c r="E32" s="270">
        <f t="shared" si="5"/>
        <v>200</v>
      </c>
      <c r="F32" s="226">
        <f>IFERROR(__xludf.DUMMYFUNCTION("Scaling!$E$4 + (INDEX(SPLIT($A32, "".""),3) + VLOOKUP(INDEX(SPLIT($A32, "".""),2), Rarity_Bonus_Levels_[[Identifier]:[Bonus Lvls]], 2) - 1) * (Scaling!$E$5)"),455.0)</f>
        <v>455</v>
      </c>
      <c r="G32" s="282"/>
      <c r="H32" s="282"/>
      <c r="I32" s="282"/>
      <c r="J32" s="283">
        <v>0.3</v>
      </c>
      <c r="K32" s="90">
        <f>IFERROR(__xludf.DUMMYFUNCTION("1 + J32 + IF(REGEXMATCH(C32, Axe_Bonuses[[#HEADERS],[Mi]]), Axe_Bonuses[Mi])  + IF(REGEXMATCH(C32, Axe_Bonuses[[#HEADERS],[Re]]), Axe_Bonuses[Re], 0) + IF(REGEXMATCH(C32, Axe_Bonuses[[#HEADERS],[Tr1]]), Axe_Bonuses[Tr1], 0) + IF(REGEXMATCH(C32, Axe_Bonuse"&amp;"s[[#HEADERS],[Tr2]]), Axe_Bonuses[Tr2], 0)"),1.8)</f>
        <v>1.8</v>
      </c>
      <c r="L32" s="44">
        <f t="shared" si="1"/>
        <v>819</v>
      </c>
      <c r="M32" s="68">
        <f>$K32 * D32 / Axe_Bonuses[Stam/Dmg]</f>
        <v>100.2927273</v>
      </c>
      <c r="N32" s="44">
        <f>IFERROR(__xludf.DUMMYFUNCTION("IF(G32&gt;0, ($L32+$M32) * G32 * ($K32 + IF(AND(REGEXMATCH($C32, $B32), REGEXMATCH($C32,Axe_Bonuses[[#HEADERS],[Py]])), Axe_Bonuses[Py],) ) / $K32, 0)"),0.0)</f>
        <v>0</v>
      </c>
      <c r="O32" s="44">
        <f>IFERROR(__xludf.DUMMYFUNCTION("IF(H32&gt;0, ($L32+$M32) * H32 * ($K32 + IF(AND(REGEXMATCH($C32, $B32), REGEXMATCH($C32,Axe_Bonuses[[#HEADERS],[He]])), Axe_Bonuses[He],) ) / $K32, 0)"),0.0)</f>
        <v>0</v>
      </c>
      <c r="P32" s="44">
        <f>IFERROR(__xludf.DUMMYFUNCTION("IF(I32&gt;0, ($L32+$M32) * I32 * ($K32 + IF(AND(REGEXMATCH($C32, $B32), REGEXMATCH($C32,Axe_Bonuses[[#HEADERS],[Vo]])), Axe_Bonuses[Vo],) ) / $K32, 0)"),0.0)</f>
        <v>0</v>
      </c>
      <c r="Q32" s="68">
        <f>$K32 *E32 / Axe_Bonuses[Mag/Dmg]</f>
        <v>6.545454545</v>
      </c>
      <c r="R32" s="44">
        <f>IFERROR(__xludf.DUMMYFUNCTION("IF(G32&gt;0, ($L32+$Q32) * G32 * ($K32 + IF(AND(REGEXMATCH($C32, $B32), REGEXMATCH($C32,Axe_Bonuses[[#HEADERS],[Py]])), Axe_Bonuses[Py],) ) / $K32, 0)"),0.0)</f>
        <v>0</v>
      </c>
      <c r="S32" s="44">
        <f>IFERROR(__xludf.DUMMYFUNCTION("IF(H32&gt;0, ($L32+$Q32) * H32 * ($K32 + IF(AND(REGEXMATCH($C32, $B32), REGEXMATCH($C32,Axe_Bonuses[[#HEADERS],[He]])), Axe_Bonuses[He],) ) / $K32, 0)"),0.0)</f>
        <v>0</v>
      </c>
      <c r="T32" s="44">
        <f>IFERROR(__xludf.DUMMYFUNCTION("IF(I32&gt;0, ($L32+$Q32) * I32 * ($K32 + IF(AND(REGEXMATCH($C32, $B32), REGEXMATCH($C32,Axe_Bonuses[[#HEADERS],[Vo]])), Axe_Bonuses[Vo],) ) / $K32, 0)"),0.0)</f>
        <v>0</v>
      </c>
      <c r="U32" s="64">
        <f t="shared" si="2"/>
        <v>919.2927273</v>
      </c>
      <c r="V32" s="65"/>
      <c r="W32" s="69" t="str">
        <f t="shared" si="3"/>
        <v/>
      </c>
      <c r="X32" s="92">
        <f>IFERROR(__xludf.DUMMYFUNCTION("Axe_Bonuses[Special
Mult] * ((L32 + Q32) * (K32 + IF(REGEXMATCH(C32, B32), If(REGEXMATCH(C32, Axe_Bonuses[[#HEADERS],[Py]]), Axe_Bonuses[Py], 0) + If(REGEXMATCH(C32, Axe_Bonuses[[#HEADERS],[He]]), Axe_Bonuses[He], 0) + If(REGEXMATCH(C32, Axe_Bonuses[[#HEA"&amp;"DERS],[Vo]]), Axe_Bonuses[Vo], 0), 0)) / K32 + SUM(R32:T32))"),642.090909090909)</f>
        <v>642.0909091</v>
      </c>
      <c r="Y32" s="92"/>
      <c r="Z32" s="72" t="str">
        <f t="shared" si="4"/>
        <v/>
      </c>
    </row>
    <row r="33">
      <c r="J33" s="7"/>
      <c r="K33" s="7"/>
      <c r="L33" s="7"/>
      <c r="M33" s="7"/>
    </row>
    <row r="34">
      <c r="J34" s="7"/>
      <c r="K34" s="7"/>
      <c r="L34" s="7"/>
      <c r="M34" s="7"/>
    </row>
    <row r="35">
      <c r="J35" s="7"/>
      <c r="K35" s="7"/>
      <c r="L35" s="7"/>
      <c r="M35" s="7"/>
    </row>
    <row r="36">
      <c r="J36" s="7"/>
      <c r="K36" s="7"/>
      <c r="L36" s="7"/>
      <c r="M36" s="7"/>
    </row>
  </sheetData>
  <mergeCells count="8">
    <mergeCell ref="D1:G1"/>
    <mergeCell ref="H1:J1"/>
    <mergeCell ref="A5:J5"/>
    <mergeCell ref="K5:L5"/>
    <mergeCell ref="M5:P5"/>
    <mergeCell ref="Q5:T5"/>
    <mergeCell ref="U5:W5"/>
    <mergeCell ref="X5:Z5"/>
  </mergeCells>
  <conditionalFormatting sqref="W7:W32">
    <cfRule type="colorScale" priority="1">
      <colorScale>
        <cfvo type="formula" val="0"/>
        <cfvo type="formula" val="0.015"/>
        <cfvo type="formula" val="0.03"/>
        <color rgb="FF57BB8A"/>
        <color rgb="FFFFD666"/>
        <color rgb="FFE67C73"/>
      </colorScale>
    </cfRule>
  </conditionalFormatting>
  <conditionalFormatting sqref="Z7:Z32">
    <cfRule type="colorScale" priority="2">
      <colorScale>
        <cfvo type="formula" val="0"/>
        <cfvo type="formula" val="0.015"/>
        <cfvo type="formula" val="0.03"/>
        <color rgb="FF57BB8A"/>
        <color rgb="FFFFD666"/>
        <color rgb="FFE67C73"/>
      </colorScale>
    </cfRule>
  </conditionalFormatting>
  <conditionalFormatting sqref="A1:Z36">
    <cfRule type="cellIs" dxfId="7" priority="3" operator="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1.13"/>
    <col customWidth="1" min="2" max="22" width="10.63"/>
    <col customWidth="1" min="23" max="23" width="11.13"/>
    <col customWidth="1" min="24" max="26" width="10.63"/>
  </cols>
  <sheetData>
    <row r="1">
      <c r="B1" s="3"/>
      <c r="D1" s="3" t="s">
        <v>1</v>
      </c>
      <c r="H1" s="3" t="s">
        <v>3</v>
      </c>
      <c r="K1" s="7"/>
      <c r="L1" s="7"/>
      <c r="M1" s="7"/>
    </row>
    <row r="2" ht="22.5" customHeight="1">
      <c r="A2" s="13" t="s">
        <v>10</v>
      </c>
      <c r="B2" s="13" t="s">
        <v>7</v>
      </c>
      <c r="C2" s="9" t="s">
        <v>13</v>
      </c>
      <c r="D2" s="14" t="s">
        <v>56</v>
      </c>
      <c r="E2" s="26" t="s">
        <v>58</v>
      </c>
      <c r="F2" s="9" t="s">
        <v>18</v>
      </c>
      <c r="G2" s="9" t="s">
        <v>20</v>
      </c>
      <c r="H2" s="14" t="s">
        <v>22</v>
      </c>
      <c r="I2" s="9" t="s">
        <v>23</v>
      </c>
      <c r="J2" s="9" t="s">
        <v>25</v>
      </c>
      <c r="M2" s="7"/>
      <c r="N2" s="7"/>
      <c r="O2" s="7"/>
      <c r="P2" s="7"/>
    </row>
    <row r="3" ht="22.5" customHeight="1">
      <c r="A3" s="16">
        <v>50.0</v>
      </c>
      <c r="B3" s="16">
        <v>60.0</v>
      </c>
      <c r="C3" s="75">
        <v>1.0</v>
      </c>
      <c r="D3" s="17">
        <v>0.1</v>
      </c>
      <c r="E3" s="32">
        <v>0.2</v>
      </c>
      <c r="F3" s="15">
        <v>0.1</v>
      </c>
      <c r="G3" s="15">
        <v>0.2</v>
      </c>
      <c r="H3" s="17">
        <v>0.2</v>
      </c>
      <c r="I3" s="15">
        <v>0.2</v>
      </c>
      <c r="J3" s="16">
        <v>0.2</v>
      </c>
      <c r="M3" s="7"/>
      <c r="N3" s="7"/>
      <c r="O3" s="7"/>
      <c r="P3" s="7"/>
    </row>
    <row r="4">
      <c r="J4" s="7"/>
      <c r="K4" s="7"/>
      <c r="L4" s="7"/>
      <c r="M4" s="7"/>
    </row>
    <row r="5">
      <c r="A5" s="19" t="s">
        <v>27</v>
      </c>
      <c r="K5" s="20" t="s">
        <v>28</v>
      </c>
      <c r="M5" s="20" t="s">
        <v>35</v>
      </c>
      <c r="Q5" s="20" t="s">
        <v>37</v>
      </c>
      <c r="U5" s="20" t="s">
        <v>29</v>
      </c>
      <c r="X5" s="20" t="s">
        <v>30</v>
      </c>
    </row>
    <row r="6" ht="22.5" customHeight="1">
      <c r="A6" s="9" t="s">
        <v>92</v>
      </c>
      <c r="B6" s="21" t="s">
        <v>33</v>
      </c>
      <c r="C6" s="21" t="s">
        <v>34</v>
      </c>
      <c r="D6" s="9" t="s">
        <v>45</v>
      </c>
      <c r="E6" s="9" t="s">
        <v>36</v>
      </c>
      <c r="F6" s="9" t="s">
        <v>38</v>
      </c>
      <c r="G6" s="22" t="s">
        <v>39</v>
      </c>
      <c r="H6" s="22" t="s">
        <v>41</v>
      </c>
      <c r="I6" s="22" t="s">
        <v>42</v>
      </c>
      <c r="J6" s="23" t="s">
        <v>43</v>
      </c>
      <c r="K6" s="24" t="s">
        <v>46</v>
      </c>
      <c r="L6" s="9" t="s">
        <v>48</v>
      </c>
      <c r="M6" s="24" t="s">
        <v>61</v>
      </c>
      <c r="N6" s="9" t="s">
        <v>50</v>
      </c>
      <c r="O6" s="9" t="s">
        <v>51</v>
      </c>
      <c r="P6" s="25" t="s">
        <v>52</v>
      </c>
      <c r="Q6" s="14" t="s">
        <v>47</v>
      </c>
      <c r="R6" s="9" t="s">
        <v>66</v>
      </c>
      <c r="S6" s="9" t="s">
        <v>67</v>
      </c>
      <c r="T6" s="9" t="s">
        <v>68</v>
      </c>
      <c r="U6" s="14" t="s">
        <v>53</v>
      </c>
      <c r="V6" s="9" t="s">
        <v>54</v>
      </c>
      <c r="W6" s="25" t="s">
        <v>57</v>
      </c>
      <c r="X6" s="14" t="s">
        <v>59</v>
      </c>
      <c r="Y6" s="9" t="s">
        <v>60</v>
      </c>
      <c r="Z6" s="9" t="s">
        <v>62</v>
      </c>
    </row>
    <row r="7" ht="22.5" customHeight="1">
      <c r="A7" s="80" t="s">
        <v>93</v>
      </c>
      <c r="B7" s="81" t="s">
        <v>23</v>
      </c>
      <c r="C7" s="82" t="s">
        <v>25</v>
      </c>
      <c r="D7" s="53">
        <v>281.0</v>
      </c>
      <c r="E7" s="55">
        <v>216.0</v>
      </c>
      <c r="F7" s="56">
        <v>74.0</v>
      </c>
      <c r="G7" s="57">
        <v>0.0</v>
      </c>
      <c r="H7" s="57">
        <v>0.0</v>
      </c>
      <c r="I7" s="57">
        <v>0.15</v>
      </c>
      <c r="J7" s="58">
        <v>0.0</v>
      </c>
      <c r="K7" s="43">
        <f>IFERROR(__xludf.DUMMYFUNCTION("1 + J7 + IF(REGEXMATCH(C7, Sword_Bonuses[[#HEADERS],[Mi]]), Sword_Bonuses[Mi])  + IF(REGEXMATCH(C7, Sword_Bonuses[[#HEADERS],[Re]]), Sword_Bonuses[Re], 0) + IF(REGEXMATCH(C7, Sword_Bonuses[[#HEADERS],[Tr1]]), Sword_Bonuses[Tr1], 0) + IF(REGEXMATCH(C7, Swo"&amp;"rd_Bonuses[[#HEADERS],[Tr2]]), Sword_Bonuses[Tr2], 0)"),1.0)</f>
        <v>1</v>
      </c>
      <c r="L7" s="44">
        <f t="shared" ref="L7:L35" si="1">F7 * K7</f>
        <v>74</v>
      </c>
      <c r="M7" s="68">
        <f>$K7 *D7 / Sword_Bonuses[Stam/Dmg]</f>
        <v>5.62</v>
      </c>
      <c r="N7" s="44">
        <f>IFERROR(__xludf.DUMMYFUNCTION("IF(G7&gt;0, ($L7+$M7) * G7 * ($K7 + IF(AND(REGEXMATCH($C7, $B7), REGEXMATCH($C7,Sword_Bonuses[[#HEADERS],[Py]])), Sword_Bonuses[Py],) ) / $K7, 0)"),0.0)</f>
        <v>0</v>
      </c>
      <c r="O7" s="44">
        <f>IFERROR(__xludf.DUMMYFUNCTION("IF(H7&gt;0, ($L7+$M7) * H7 * ($K7 + IF(AND(REGEXMATCH($C7, $B7), REGEXMATCH($C7,Sword_Bonuses[[#HEADERS],[He]])), Sword_Bonuses[He],) ) / $K7, 0)"),0.0)</f>
        <v>0</v>
      </c>
      <c r="P7" s="44">
        <f>IFERROR(__xludf.DUMMYFUNCTION("IF(I7&gt;0, ($L7+$M7) * I7 * ($K7 + IF(AND(REGEXMATCH($C7, $B7), REGEXMATCH($C7,Sword_Bonuses[[#HEADERS],[Vo]])), Sword_Bonuses[Vo],) ) / $K7, 0)"),11.943)</f>
        <v>11.943</v>
      </c>
      <c r="Q7" s="68">
        <f>$K7 *E7 / Sword_Bonuses[Mag/Dmg]</f>
        <v>3.6</v>
      </c>
      <c r="R7" s="44">
        <f>IFERROR(__xludf.DUMMYFUNCTION("IF(G7&gt;0, ($L7+$Q7) * G7 * ($K7 + IF(AND(REGEXMATCH($C7, $B7), REGEXMATCH($C7,Sword_Bonuses[[#HEADERS],[Py]])), Sword_Bonuses[Py],) ) / $K7, 0)"),0.0)</f>
        <v>0</v>
      </c>
      <c r="S7" s="44">
        <f>IFERROR(__xludf.DUMMYFUNCTION("IF(H7&gt;0, ($L7+$Q7) * H7 * ($K7 + IF(AND(REGEXMATCH($C7, $B7), REGEXMATCH($C7,Sword_Bonuses[[#HEADERS],[He]])), Sword_Bonuses[He],) ) / $K7, 0)"),0.0)</f>
        <v>0</v>
      </c>
      <c r="T7" s="44">
        <f>IFERROR(__xludf.DUMMYFUNCTION("IF(I7&gt;0, ($L7+$Q7) * I7 * ($K7 + IF(AND(REGEXMATCH($C7, $B7), REGEXMATCH($C7,Sword_Bonuses[[#HEADERS],[Vo]])), Sword_Bonuses[Vo],) ) / $K7, 0)"),11.639999999999999)</f>
        <v>11.64</v>
      </c>
      <c r="U7" s="64">
        <f t="shared" ref="U7:U35" si="2">SUM(L7:P7)</f>
        <v>91.563</v>
      </c>
      <c r="V7" s="79">
        <v>92.0</v>
      </c>
      <c r="W7" s="69">
        <f t="shared" ref="W7:W35" si="3">IF(AND(U7&gt;0,V7&gt;0), ABS(V7-U7)/V7, )</f>
        <v>0.00475</v>
      </c>
      <c r="X7" s="71">
        <f>IFERROR(__xludf.DUMMYFUNCTION("Sword_Bonuses[Special
Mult] * ((L7 + Q7) * (K7 + IF(REGEXMATCH(C7, B7), If(REGEXMATCH(C7, Sword_Bonuses[[#HEADERS],[Py]]), Sword_Bonuses[Py], 0) + If(REGEXMATCH(C7, Sword_Bonuses[[#HEADERS],[He]]), Sword_Bonuses[He], 0) + If(REGEXMATCH(C7, Sword_Bonuses[["&amp;"#HEADERS],[Vo]]), Sword_Bonuses[Vo], 0), 0)) / K7 + SUM(R7:T7))"),89.24)</f>
        <v>89.24</v>
      </c>
      <c r="Y7" s="55">
        <v>90.0</v>
      </c>
      <c r="Z7" s="72">
        <f t="shared" ref="Z7:Z35" si="4">IF(AND(X7&gt;0,Y7&gt;0), ABS(Y7-X7)/Y7, )</f>
        <v>0.008444444444</v>
      </c>
    </row>
    <row r="8" ht="22.5" customHeight="1">
      <c r="A8" s="80" t="s">
        <v>93</v>
      </c>
      <c r="B8" s="81" t="s">
        <v>23</v>
      </c>
      <c r="C8" s="82" t="s">
        <v>25</v>
      </c>
      <c r="D8" s="53">
        <v>281.0</v>
      </c>
      <c r="E8" s="55">
        <v>216.0</v>
      </c>
      <c r="F8" s="56">
        <v>74.0</v>
      </c>
      <c r="G8" s="57">
        <v>0.0</v>
      </c>
      <c r="H8" s="57">
        <v>0.15</v>
      </c>
      <c r="I8" s="57">
        <v>0.0</v>
      </c>
      <c r="J8" s="58">
        <v>0.0</v>
      </c>
      <c r="K8" s="43">
        <f>IFERROR(__xludf.DUMMYFUNCTION("1 + J8 + IF(REGEXMATCH(C8, Sword_Bonuses[[#HEADERS],[Mi]]), Sword_Bonuses[Mi])  + IF(REGEXMATCH(C8, Sword_Bonuses[[#HEADERS],[Re]]), Sword_Bonuses[Re], 0) + IF(REGEXMATCH(C8, Sword_Bonuses[[#HEADERS],[Tr1]]), Sword_Bonuses[Tr1], 0) + IF(REGEXMATCH(C8, Swo"&amp;"rd_Bonuses[[#HEADERS],[Tr2]]), Sword_Bonuses[Tr2], 0)"),1.0)</f>
        <v>1</v>
      </c>
      <c r="L8" s="44">
        <f t="shared" si="1"/>
        <v>74</v>
      </c>
      <c r="M8" s="68">
        <f>$K8 *D8 / Sword_Bonuses[Stam/Dmg]</f>
        <v>5.62</v>
      </c>
      <c r="N8" s="44">
        <f>IFERROR(__xludf.DUMMYFUNCTION("IF(G8&gt;0, ($L8+$M8) * G8 * ($K8 + IF(AND(REGEXMATCH($C8, $B8), REGEXMATCH($C8,Sword_Bonuses[[#HEADERS],[Py]])), Sword_Bonuses[Py],) ) / $K8, 0)"),0.0)</f>
        <v>0</v>
      </c>
      <c r="O8" s="44">
        <f>IFERROR(__xludf.DUMMYFUNCTION("IF(H8&gt;0, ($L8+$M8) * H8 * ($K8 + IF(AND(REGEXMATCH($C8, $B8), REGEXMATCH($C8,Sword_Bonuses[[#HEADERS],[He]])), Sword_Bonuses[He],) ) / $K8, 0)"),11.943)</f>
        <v>11.943</v>
      </c>
      <c r="P8" s="44">
        <f>IFERROR(__xludf.DUMMYFUNCTION("IF(I8&gt;0, ($L8+$M8) * I8 * ($K8 + IF(AND(REGEXMATCH($C8, $B8), REGEXMATCH($C8,Sword_Bonuses[[#HEADERS],[Vo]])), Sword_Bonuses[Vo],) ) / $K8, 0)"),0.0)</f>
        <v>0</v>
      </c>
      <c r="Q8" s="68">
        <f>$K8 *E8 / Sword_Bonuses[Mag/Dmg]</f>
        <v>3.6</v>
      </c>
      <c r="R8" s="44">
        <f>IFERROR(__xludf.DUMMYFUNCTION("IF(G8&gt;0, ($L8+$Q8) * G8 * ($K8 + IF(AND(REGEXMATCH($C8, $B8), REGEXMATCH($C8,Sword_Bonuses[[#HEADERS],[Py]])), Sword_Bonuses[Py],) ) / $K8, 0)"),0.0)</f>
        <v>0</v>
      </c>
      <c r="S8" s="44">
        <f>IFERROR(__xludf.DUMMYFUNCTION("IF(H8&gt;0, ($L8+$Q8) * H8 * ($K8 + IF(AND(REGEXMATCH($C8, $B8), REGEXMATCH($C8,Sword_Bonuses[[#HEADERS],[He]])), Sword_Bonuses[He],) ) / $K8, 0)"),11.639999999999999)</f>
        <v>11.64</v>
      </c>
      <c r="T8" s="44">
        <f>IFERROR(__xludf.DUMMYFUNCTION("IF(I8&gt;0, ($L8+$Q8) * I8 * ($K8 + IF(AND(REGEXMATCH($C8, $B8), REGEXMATCH($C8,Sword_Bonuses[[#HEADERS],[Vo]])), Sword_Bonuses[Vo],) ) / $K8, 0)"),0.0)</f>
        <v>0</v>
      </c>
      <c r="U8" s="64">
        <f t="shared" si="2"/>
        <v>91.563</v>
      </c>
      <c r="V8" s="29">
        <v>92.0</v>
      </c>
      <c r="W8" s="69">
        <f t="shared" si="3"/>
        <v>0.00475</v>
      </c>
      <c r="X8" s="71">
        <f>IFERROR(__xludf.DUMMYFUNCTION("Sword_Bonuses[Special
Mult] * ((L8 + Q8) * (K8 + IF(REGEXMATCH(C8, B8), If(REGEXMATCH(C8, Sword_Bonuses[[#HEADERS],[Py]]), Sword_Bonuses[Py], 0) + If(REGEXMATCH(C8, Sword_Bonuses[[#HEADERS],[He]]), Sword_Bonuses[He], 0) + If(REGEXMATCH(C8, Sword_Bonuses[["&amp;"#HEADERS],[Vo]]), Sword_Bonuses[Vo], 0), 0)) / K8 + SUM(R8:T8))"),89.24)</f>
        <v>89.24</v>
      </c>
      <c r="Y8" s="55">
        <v>89.0</v>
      </c>
      <c r="Z8" s="72">
        <f t="shared" si="4"/>
        <v>0.002696629213</v>
      </c>
    </row>
    <row r="9" ht="22.5" customHeight="1">
      <c r="A9" s="80" t="s">
        <v>93</v>
      </c>
      <c r="B9" s="81" t="s">
        <v>23</v>
      </c>
      <c r="C9" s="82" t="s">
        <v>25</v>
      </c>
      <c r="D9" s="53">
        <v>281.0</v>
      </c>
      <c r="E9" s="55">
        <v>640.0</v>
      </c>
      <c r="F9" s="56">
        <v>74.0</v>
      </c>
      <c r="G9" s="57">
        <v>0.0</v>
      </c>
      <c r="H9" s="57">
        <v>0.0</v>
      </c>
      <c r="I9" s="57">
        <v>0.15</v>
      </c>
      <c r="J9" s="58">
        <v>0.0</v>
      </c>
      <c r="K9" s="90">
        <f>IFERROR(__xludf.DUMMYFUNCTION("1 + J9 + IF(REGEXMATCH(C9, Sword_Bonuses[[#HEADERS],[Mi]]), Sword_Bonuses[Mi])  + IF(REGEXMATCH(C9, Sword_Bonuses[[#HEADERS],[Re]]), Sword_Bonuses[Re], 0) + IF(REGEXMATCH(C9, Sword_Bonuses[[#HEADERS],[Tr1]]), Sword_Bonuses[Tr1], 0) + IF(REGEXMATCH(C9, Swo"&amp;"rd_Bonuses[[#HEADERS],[Tr2]]), Sword_Bonuses[Tr2], 0)"),1.0)</f>
        <v>1</v>
      </c>
      <c r="L9" s="44">
        <f t="shared" si="1"/>
        <v>74</v>
      </c>
      <c r="M9" s="68">
        <f>$K9 *D9 / Sword_Bonuses[Stam/Dmg]</f>
        <v>5.62</v>
      </c>
      <c r="N9" s="44">
        <f>IFERROR(__xludf.DUMMYFUNCTION("IF(G9&gt;0, ($L9+$M9) * G9 * ($K9 + IF(AND(REGEXMATCH($C9, $B9), REGEXMATCH($C9,Sword_Bonuses[[#HEADERS],[Py]])), Sword_Bonuses[Py],) ) / $K9, 0)"),0.0)</f>
        <v>0</v>
      </c>
      <c r="O9" s="44">
        <f>IFERROR(__xludf.DUMMYFUNCTION("IF(H9&gt;0, ($L9+$M9) * H9 * ($K9 + IF(AND(REGEXMATCH($C9, $B9), REGEXMATCH($C9,Sword_Bonuses[[#HEADERS],[He]])), Sword_Bonuses[He],) ) / $K9, 0)"),0.0)</f>
        <v>0</v>
      </c>
      <c r="P9" s="44">
        <f>IFERROR(__xludf.DUMMYFUNCTION("IF(I9&gt;0, ($L9+$M9) * I9 * ($K9 + IF(AND(REGEXMATCH($C9, $B9), REGEXMATCH($C9,Sword_Bonuses[[#HEADERS],[Vo]])), Sword_Bonuses[Vo],) ) / $K9, 0)"),11.943)</f>
        <v>11.943</v>
      </c>
      <c r="Q9" s="68">
        <f>$K9 *E9 / Sword_Bonuses[Mag/Dmg]</f>
        <v>10.66666667</v>
      </c>
      <c r="R9" s="44">
        <f>IFERROR(__xludf.DUMMYFUNCTION("IF(G9&gt;0, ($L9+$Q9) * G9 * ($K9 + IF(AND(REGEXMATCH($C9, $B9), REGEXMATCH($C9,Sword_Bonuses[[#HEADERS],[Py]])), Sword_Bonuses[Py],) ) / $K9, 0)"),0.0)</f>
        <v>0</v>
      </c>
      <c r="S9" s="44">
        <f>IFERROR(__xludf.DUMMYFUNCTION("IF(H9&gt;0, ($L9+$Q9) * H9 * ($K9 + IF(AND(REGEXMATCH($C9, $B9), REGEXMATCH($C9,Sword_Bonuses[[#HEADERS],[He]])), Sword_Bonuses[He],) ) / $K9, 0)"),0.0)</f>
        <v>0</v>
      </c>
      <c r="T9" s="44">
        <f>IFERROR(__xludf.DUMMYFUNCTION("IF(I9&gt;0, ($L9+$Q9) * I9 * ($K9 + IF(AND(REGEXMATCH($C9, $B9), REGEXMATCH($C9,Sword_Bonuses[[#HEADERS],[Vo]])), Sword_Bonuses[Vo],) ) / $K9, 0)"),12.700000000000001)</f>
        <v>12.7</v>
      </c>
      <c r="U9" s="64">
        <f t="shared" si="2"/>
        <v>91.563</v>
      </c>
      <c r="V9" s="79">
        <v>92.0</v>
      </c>
      <c r="W9" s="69">
        <f t="shared" si="3"/>
        <v>0.00475</v>
      </c>
      <c r="X9" s="93">
        <f>IFERROR(__xludf.DUMMYFUNCTION("Sword_Bonuses[Special
Mult] * ((L9 + Q9) * (K9 + IF(REGEXMATCH(C9, B9), If(REGEXMATCH(C9, Sword_Bonuses[[#HEADERS],[Py]]), Sword_Bonuses[Py], 0) + If(REGEXMATCH(C9, Sword_Bonuses[[#HEADERS],[He]]), Sword_Bonuses[He], 0) + If(REGEXMATCH(C9, Sword_Bonuses[["&amp;"#HEADERS],[Vo]]), Sword_Bonuses[Vo], 0), 0)) / K9 + SUM(R9:T9))"),97.36666666666667)</f>
        <v>97.36666667</v>
      </c>
      <c r="Y9" s="55">
        <v>97.0</v>
      </c>
      <c r="Z9" s="72">
        <f t="shared" si="4"/>
        <v>0.003780068729</v>
      </c>
    </row>
    <row r="10" ht="22.5" customHeight="1">
      <c r="A10" s="80" t="s">
        <v>93</v>
      </c>
      <c r="B10" s="81" t="s">
        <v>23</v>
      </c>
      <c r="C10" s="82" t="s">
        <v>25</v>
      </c>
      <c r="D10" s="53">
        <v>281.0</v>
      </c>
      <c r="E10" s="55">
        <v>640.0</v>
      </c>
      <c r="F10" s="56">
        <v>74.0</v>
      </c>
      <c r="G10" s="57">
        <v>0.0</v>
      </c>
      <c r="H10" s="57">
        <v>0.15</v>
      </c>
      <c r="I10" s="57">
        <v>0.0</v>
      </c>
      <c r="J10" s="58">
        <v>0.0</v>
      </c>
      <c r="K10" s="90">
        <f>IFERROR(__xludf.DUMMYFUNCTION("1 + J10 + IF(REGEXMATCH(C10, Sword_Bonuses[[#HEADERS],[Mi]]), Sword_Bonuses[Mi])  + IF(REGEXMATCH(C10, Sword_Bonuses[[#HEADERS],[Re]]), Sword_Bonuses[Re], 0) + IF(REGEXMATCH(C10, Sword_Bonuses[[#HEADERS],[Tr1]]), Sword_Bonuses[Tr1], 0) + IF(REGEXMATCH(C10"&amp;", Sword_Bonuses[[#HEADERS],[Tr2]]), Sword_Bonuses[Tr2], 0)"),1.0)</f>
        <v>1</v>
      </c>
      <c r="L10" s="44">
        <f t="shared" si="1"/>
        <v>74</v>
      </c>
      <c r="M10" s="68">
        <f>$K10 *D10 / Sword_Bonuses[Stam/Dmg]</f>
        <v>5.62</v>
      </c>
      <c r="N10" s="44">
        <f>IFERROR(__xludf.DUMMYFUNCTION("IF(G10&gt;0, ($L10+$M10) * G10 * ($K10 + IF(AND(REGEXMATCH($C10, $B10), REGEXMATCH($C10,Sword_Bonuses[[#HEADERS],[Py]])), Sword_Bonuses[Py],) ) / $K10, 0)"),0.0)</f>
        <v>0</v>
      </c>
      <c r="O10" s="44">
        <f>IFERROR(__xludf.DUMMYFUNCTION("IF(H10&gt;0, ($L10+$M10) * H10 * ($K10 + IF(AND(REGEXMATCH($C10, $B10), REGEXMATCH($C10,Sword_Bonuses[[#HEADERS],[He]])), Sword_Bonuses[He],) ) / $K10, 0)"),11.943)</f>
        <v>11.943</v>
      </c>
      <c r="P10" s="44">
        <f>IFERROR(__xludf.DUMMYFUNCTION("IF(I10&gt;0, ($L10+$M10) * I10 * ($K10 + IF(AND(REGEXMATCH($C10, $B10), REGEXMATCH($C10,Sword_Bonuses[[#HEADERS],[Vo]])), Sword_Bonuses[Vo],) ) / $K10, 0)"),0.0)</f>
        <v>0</v>
      </c>
      <c r="Q10" s="68">
        <f>$K10 *E10 / Sword_Bonuses[Mag/Dmg]</f>
        <v>10.66666667</v>
      </c>
      <c r="R10" s="44">
        <f>IFERROR(__xludf.DUMMYFUNCTION("IF(G10&gt;0, ($L10+$Q10) * G10 * ($K10 + IF(AND(REGEXMATCH($C10, $B10), REGEXMATCH($C10,Sword_Bonuses[[#HEADERS],[Py]])), Sword_Bonuses[Py],) ) / $K10, 0)"),0.0)</f>
        <v>0</v>
      </c>
      <c r="S10" s="44">
        <f>IFERROR(__xludf.DUMMYFUNCTION("IF(H10&gt;0, ($L10+$Q10) * H10 * ($K10 + IF(AND(REGEXMATCH($C10, $B10), REGEXMATCH($C10,Sword_Bonuses[[#HEADERS],[He]])), Sword_Bonuses[He],) ) / $K10, 0)"),12.700000000000001)</f>
        <v>12.7</v>
      </c>
      <c r="T10" s="44">
        <f>IFERROR(__xludf.DUMMYFUNCTION("IF(I10&gt;0, ($L10+$Q10) * I10 * ($K10 + IF(AND(REGEXMATCH($C10, $B10), REGEXMATCH($C10,Sword_Bonuses[[#HEADERS],[Vo]])), Sword_Bonuses[Vo],) ) / $K10, 0)"),0.0)</f>
        <v>0</v>
      </c>
      <c r="U10" s="64">
        <f t="shared" si="2"/>
        <v>91.563</v>
      </c>
      <c r="V10" s="29">
        <v>92.0</v>
      </c>
      <c r="W10" s="69">
        <f t="shared" si="3"/>
        <v>0.00475</v>
      </c>
      <c r="X10" s="93">
        <f>IFERROR(__xludf.DUMMYFUNCTION("Sword_Bonuses[Special
Mult] * ((L10 + Q10) * (K10 + IF(REGEXMATCH(C10, B10), If(REGEXMATCH(C10, Sword_Bonuses[[#HEADERS],[Py]]), Sword_Bonuses[Py], 0) + If(REGEXMATCH(C10, Sword_Bonuses[[#HEADERS],[He]]), Sword_Bonuses[He], 0) + If(REGEXMATCH(C10, Sword_B"&amp;"onuses[[#HEADERS],[Vo]]), Sword_Bonuses[Vo], 0), 0)) / K10 + SUM(R10:T10))"),97.36666666666667)</f>
        <v>97.36666667</v>
      </c>
      <c r="Y10" s="55">
        <v>97.0</v>
      </c>
      <c r="Z10" s="72">
        <f t="shared" si="4"/>
        <v>0.003780068729</v>
      </c>
    </row>
    <row r="11" ht="22.5" customHeight="1">
      <c r="A11" s="80" t="s">
        <v>93</v>
      </c>
      <c r="B11" s="81" t="s">
        <v>23</v>
      </c>
      <c r="C11" s="82" t="s">
        <v>25</v>
      </c>
      <c r="D11" s="53">
        <v>551.0</v>
      </c>
      <c r="E11" s="55">
        <v>216.0</v>
      </c>
      <c r="F11" s="56">
        <v>74.0</v>
      </c>
      <c r="G11" s="57">
        <v>0.0</v>
      </c>
      <c r="H11" s="57">
        <v>0.0</v>
      </c>
      <c r="I11" s="57">
        <v>0.15</v>
      </c>
      <c r="J11" s="58">
        <v>0.3</v>
      </c>
      <c r="K11" s="90">
        <f>IFERROR(__xludf.DUMMYFUNCTION("1 + J11 + IF(REGEXMATCH(C11, Sword_Bonuses[[#HEADERS],[Mi]]), Sword_Bonuses[Mi])  + IF(REGEXMATCH(C11, Sword_Bonuses[[#HEADERS],[Re]]), Sword_Bonuses[Re], 0) + IF(REGEXMATCH(C11, Sword_Bonuses[[#HEADERS],[Tr1]]), Sword_Bonuses[Tr1], 0) + IF(REGEXMATCH(C11"&amp;", Sword_Bonuses[[#HEADERS],[Tr2]]), Sword_Bonuses[Tr2], 0)"),1.3)</f>
        <v>1.3</v>
      </c>
      <c r="L11" s="44">
        <f t="shared" si="1"/>
        <v>96.2</v>
      </c>
      <c r="M11" s="68">
        <f>$K11 *D11 / Sword_Bonuses[Stam/Dmg]</f>
        <v>14.326</v>
      </c>
      <c r="N11" s="44">
        <f>IFERROR(__xludf.DUMMYFUNCTION("IF(G11&gt;0, ($L11+$M11) * G11 * ($K11 + IF(AND(REGEXMATCH($C11, $B11), REGEXMATCH($C11,Sword_Bonuses[[#HEADERS],[Py]])), Sword_Bonuses[Py],) ) / $K11, 0)"),0.0)</f>
        <v>0</v>
      </c>
      <c r="O11" s="44">
        <f>IFERROR(__xludf.DUMMYFUNCTION("IF(H11&gt;0, ($L11+$M11) * H11 * ($K11 + IF(AND(REGEXMATCH($C11, $B11), REGEXMATCH($C11,Sword_Bonuses[[#HEADERS],[He]])), Sword_Bonuses[He],) ) / $K11, 0)"),0.0)</f>
        <v>0</v>
      </c>
      <c r="P11" s="44">
        <f>IFERROR(__xludf.DUMMYFUNCTION("IF(I11&gt;0, ($L11+$M11) * I11 * ($K11 + IF(AND(REGEXMATCH($C11, $B11), REGEXMATCH($C11,Sword_Bonuses[[#HEADERS],[Vo]])), Sword_Bonuses[Vo],) ) / $K11, 0)"),16.5789)</f>
        <v>16.5789</v>
      </c>
      <c r="Q11" s="68">
        <f>$K11 *E11 / Sword_Bonuses[Mag/Dmg]</f>
        <v>4.68</v>
      </c>
      <c r="R11" s="44">
        <f>IFERROR(__xludf.DUMMYFUNCTION("IF(G11&gt;0, ($L11+$Q11) * G11 * ($K11 + IF(AND(REGEXMATCH($C11, $B11), REGEXMATCH($C11,Sword_Bonuses[[#HEADERS],[Py]])), Sword_Bonuses[Py],) ) / $K11, 0)"),0.0)</f>
        <v>0</v>
      </c>
      <c r="S11" s="44">
        <f>IFERROR(__xludf.DUMMYFUNCTION("IF(H11&gt;0, ($L11+$Q11) * H11 * ($K11 + IF(AND(REGEXMATCH($C11, $B11), REGEXMATCH($C11,Sword_Bonuses[[#HEADERS],[He]])), Sword_Bonuses[He],) ) / $K11, 0)"),0.0)</f>
        <v>0</v>
      </c>
      <c r="T11" s="44">
        <f>IFERROR(__xludf.DUMMYFUNCTION("IF(I11&gt;0, ($L11+$Q11) * I11 * ($K11 + IF(AND(REGEXMATCH($C11, $B11), REGEXMATCH($C11,Sword_Bonuses[[#HEADERS],[Vo]])), Sword_Bonuses[Vo],) ) / $K11, 0)"),15.132000000000001)</f>
        <v>15.132</v>
      </c>
      <c r="U11" s="64">
        <f t="shared" si="2"/>
        <v>127.1049</v>
      </c>
      <c r="V11" s="29">
        <v>127.0</v>
      </c>
      <c r="W11" s="69">
        <f t="shared" si="3"/>
        <v>0.000825984252</v>
      </c>
      <c r="X11" s="93">
        <f>IFERROR(__xludf.DUMMYFUNCTION("Sword_Bonuses[Special
Mult] * ((L11 + Q11) * (K11 + IF(REGEXMATCH(C11, B11), If(REGEXMATCH(C11, Sword_Bonuses[[#HEADERS],[Py]]), Sword_Bonuses[Py], 0) + If(REGEXMATCH(C11, Sword_Bonuses[[#HEADERS],[He]]), Sword_Bonuses[He], 0) + If(REGEXMATCH(C11, Sword_B"&amp;"onuses[[#HEADERS],[Vo]]), Sword_Bonuses[Vo], 0), 0)) / K11 + SUM(R11:T11))"),116.012)</f>
        <v>116.012</v>
      </c>
      <c r="Y11" s="55">
        <v>117.0</v>
      </c>
      <c r="Z11" s="72">
        <f t="shared" si="4"/>
        <v>0.008444444444</v>
      </c>
    </row>
    <row r="12" ht="22.5" customHeight="1">
      <c r="A12" s="80" t="s">
        <v>93</v>
      </c>
      <c r="B12" s="81" t="s">
        <v>23</v>
      </c>
      <c r="C12" s="82" t="s">
        <v>25</v>
      </c>
      <c r="D12" s="53">
        <v>551.0</v>
      </c>
      <c r="E12" s="55">
        <v>216.0</v>
      </c>
      <c r="F12" s="56">
        <v>74.0</v>
      </c>
      <c r="G12" s="57">
        <v>0.0</v>
      </c>
      <c r="H12" s="57">
        <v>0.15</v>
      </c>
      <c r="I12" s="57">
        <v>0.0</v>
      </c>
      <c r="J12" s="58">
        <v>0.3</v>
      </c>
      <c r="K12" s="43">
        <f>IFERROR(__xludf.DUMMYFUNCTION("1 + J12 + IF(REGEXMATCH(C12, Sword_Bonuses[[#HEADERS],[Mi]]), Sword_Bonuses[Mi])  + IF(REGEXMATCH(C12, Sword_Bonuses[[#HEADERS],[Re]]), Sword_Bonuses[Re], 0) + IF(REGEXMATCH(C12, Sword_Bonuses[[#HEADERS],[Tr1]]), Sword_Bonuses[Tr1], 0) + IF(REGEXMATCH(C12"&amp;", Sword_Bonuses[[#HEADERS],[Tr2]]), Sword_Bonuses[Tr2], 0)"),1.3)</f>
        <v>1.3</v>
      </c>
      <c r="L12" s="44">
        <f t="shared" si="1"/>
        <v>96.2</v>
      </c>
      <c r="M12" s="68">
        <f>$K12 *D12 / Sword_Bonuses[Stam/Dmg]</f>
        <v>14.326</v>
      </c>
      <c r="N12" s="44">
        <f>IFERROR(__xludf.DUMMYFUNCTION("IF(G12&gt;0, ($L12+$M12) * G12 * ($K12 + IF(AND(REGEXMATCH($C12, $B12), REGEXMATCH($C12,Sword_Bonuses[[#HEADERS],[Py]])), Sword_Bonuses[Py],) ) / $K12, 0)"),0.0)</f>
        <v>0</v>
      </c>
      <c r="O12" s="44">
        <f>IFERROR(__xludf.DUMMYFUNCTION("IF(H12&gt;0, ($L12+$M12) * H12 * ($K12 + IF(AND(REGEXMATCH($C12, $B12), REGEXMATCH($C12,Sword_Bonuses[[#HEADERS],[He]])), Sword_Bonuses[He],) ) / $K12, 0)"),16.5789)</f>
        <v>16.5789</v>
      </c>
      <c r="P12" s="44">
        <f>IFERROR(__xludf.DUMMYFUNCTION("IF(I12&gt;0, ($L12+$M12) * I12 * ($K12 + IF(AND(REGEXMATCH($C12, $B12), REGEXMATCH($C12,Sword_Bonuses[[#HEADERS],[Vo]])), Sword_Bonuses[Vo],) ) / $K12, 0)"),0.0)</f>
        <v>0</v>
      </c>
      <c r="Q12" s="68">
        <f>$K12 *E12 / Sword_Bonuses[Mag/Dmg]</f>
        <v>4.68</v>
      </c>
      <c r="R12" s="44">
        <f>IFERROR(__xludf.DUMMYFUNCTION("IF(G12&gt;0, ($L12+$Q12) * G12 * ($K12 + IF(AND(REGEXMATCH($C12, $B12), REGEXMATCH($C12,Sword_Bonuses[[#HEADERS],[Py]])), Sword_Bonuses[Py],) ) / $K12, 0)"),0.0)</f>
        <v>0</v>
      </c>
      <c r="S12" s="44">
        <f>IFERROR(__xludf.DUMMYFUNCTION("IF(H12&gt;0, ($L12+$Q12) * H12 * ($K12 + IF(AND(REGEXMATCH($C12, $B12), REGEXMATCH($C12,Sword_Bonuses[[#HEADERS],[He]])), Sword_Bonuses[He],) ) / $K12, 0)"),15.132000000000001)</f>
        <v>15.132</v>
      </c>
      <c r="T12" s="44">
        <f>IFERROR(__xludf.DUMMYFUNCTION("IF(I12&gt;0, ($L12+$Q12) * I12 * ($K12 + IF(AND(REGEXMATCH($C12, $B12), REGEXMATCH($C12,Sword_Bonuses[[#HEADERS],[Vo]])), Sword_Bonuses[Vo],) ) / $K12, 0)"),0.0)</f>
        <v>0</v>
      </c>
      <c r="U12" s="64">
        <f t="shared" si="2"/>
        <v>127.1049</v>
      </c>
      <c r="V12" s="105">
        <v>127.0</v>
      </c>
      <c r="W12" s="69">
        <f t="shared" si="3"/>
        <v>0.000825984252</v>
      </c>
      <c r="X12" s="71">
        <f>IFERROR(__xludf.DUMMYFUNCTION("Sword_Bonuses[Special
Mult] * ((L12 + Q12) * (K12 + IF(REGEXMATCH(C12, B12), If(REGEXMATCH(C12, Sword_Bonuses[[#HEADERS],[Py]]), Sword_Bonuses[Py], 0) + If(REGEXMATCH(C12, Sword_Bonuses[[#HEADERS],[He]]), Sword_Bonuses[He], 0) + If(REGEXMATCH(C12, Sword_B"&amp;"onuses[[#HEADERS],[Vo]]), Sword_Bonuses[Vo], 0), 0)) / K12 + SUM(R12:T12))"),116.012)</f>
        <v>116.012</v>
      </c>
      <c r="Y12" s="55">
        <v>116.0</v>
      </c>
      <c r="Z12" s="72">
        <f t="shared" si="4"/>
        <v>0.0001034482759</v>
      </c>
    </row>
    <row r="13" ht="22.5" customHeight="1">
      <c r="A13" s="80" t="s">
        <v>93</v>
      </c>
      <c r="B13" s="81" t="s">
        <v>23</v>
      </c>
      <c r="C13" s="82" t="s">
        <v>101</v>
      </c>
      <c r="D13" s="53">
        <v>269.0</v>
      </c>
      <c r="E13" s="55">
        <v>226.0</v>
      </c>
      <c r="F13" s="56">
        <v>74.0</v>
      </c>
      <c r="G13" s="57">
        <v>0.0</v>
      </c>
      <c r="H13" s="57">
        <v>0.0</v>
      </c>
      <c r="I13" s="57">
        <v>0.15</v>
      </c>
      <c r="J13" s="58">
        <v>0.0</v>
      </c>
      <c r="K13" s="43">
        <f>IFERROR(__xludf.DUMMYFUNCTION("1 + J13 + IF(REGEXMATCH(C13, Sword_Bonuses[[#HEADERS],[Mi]]), Sword_Bonuses[Mi])  + IF(REGEXMATCH(C13, Sword_Bonuses[[#HEADERS],[Re]]), Sword_Bonuses[Re], 0) + IF(REGEXMATCH(C13, Sword_Bonuses[[#HEADERS],[Tr1]]), Sword_Bonuses[Tr1], 0) + IF(REGEXMATCH(C13"&amp;", Sword_Bonuses[[#HEADERS],[Tr2]]), Sword_Bonuses[Tr2], 0)"),1.2)</f>
        <v>1.2</v>
      </c>
      <c r="L13" s="44">
        <f t="shared" si="1"/>
        <v>88.8</v>
      </c>
      <c r="M13" s="68">
        <f>$K13 *D13 / Sword_Bonuses[Stam/Dmg]</f>
        <v>6.456</v>
      </c>
      <c r="N13" s="44">
        <f>IFERROR(__xludf.DUMMYFUNCTION("IF(G13&gt;0, ($L13+$M13) * G13 * ($K13 + IF(AND(REGEXMATCH($C13, $B13), REGEXMATCH($C13,Sword_Bonuses[[#HEADERS],[Py]])), Sword_Bonuses[Py],) ) / $K13, 0)"),0.0)</f>
        <v>0</v>
      </c>
      <c r="O13" s="44">
        <f>IFERROR(__xludf.DUMMYFUNCTION("IF(H13&gt;0, ($L13+$M13) * H13 * ($K13 + IF(AND(REGEXMATCH($C13, $B13), REGEXMATCH($C13,Sword_Bonuses[[#HEADERS],[He]])), Sword_Bonuses[He],) ) / $K13, 0)"),0.0)</f>
        <v>0</v>
      </c>
      <c r="P13" s="44">
        <f>IFERROR(__xludf.DUMMYFUNCTION("IF(I13&gt;0, ($L13+$M13) * I13 * ($K13 + IF(AND(REGEXMATCH($C13, $B13), REGEXMATCH($C13,Sword_Bonuses[[#HEADERS],[Vo]])), Sword_Bonuses[Vo],) ) / $K13, 0)"),14.2884)</f>
        <v>14.2884</v>
      </c>
      <c r="Q13" s="68">
        <f>$K13 *E13 / Sword_Bonuses[Mag/Dmg]</f>
        <v>4.52</v>
      </c>
      <c r="R13" s="44">
        <f>IFERROR(__xludf.DUMMYFUNCTION("IF(G13&gt;0, ($L13+$Q13) * G13 * ($K13 + IF(AND(REGEXMATCH($C13, $B13), REGEXMATCH($C13,Sword_Bonuses[[#HEADERS],[Py]])), Sword_Bonuses[Py],) ) / $K13, 0)"),0.0)</f>
        <v>0</v>
      </c>
      <c r="S13" s="44">
        <f>IFERROR(__xludf.DUMMYFUNCTION("IF(H13&gt;0, ($L13+$Q13) * H13 * ($K13 + IF(AND(REGEXMATCH($C13, $B13), REGEXMATCH($C13,Sword_Bonuses[[#HEADERS],[He]])), Sword_Bonuses[He],) ) / $K13, 0)"),0.0)</f>
        <v>0</v>
      </c>
      <c r="T13" s="44">
        <f>IFERROR(__xludf.DUMMYFUNCTION("IF(I13&gt;0, ($L13+$Q13) * I13 * ($K13 + IF(AND(REGEXMATCH($C13, $B13), REGEXMATCH($C13,Sword_Bonuses[[#HEADERS],[Vo]])), Sword_Bonuses[Vo],) ) / $K13, 0)"),13.998)</f>
        <v>13.998</v>
      </c>
      <c r="U13" s="64">
        <f t="shared" si="2"/>
        <v>109.5444</v>
      </c>
      <c r="V13" s="105">
        <v>110.0</v>
      </c>
      <c r="W13" s="69">
        <f t="shared" si="3"/>
        <v>0.004141818182</v>
      </c>
      <c r="X13" s="71">
        <f>IFERROR(__xludf.DUMMYFUNCTION("Sword_Bonuses[Special
Mult] * ((L13 + Q13) * (K13 + IF(REGEXMATCH(C13, B13), If(REGEXMATCH(C13, Sword_Bonuses[[#HEADERS],[Py]]), Sword_Bonuses[Py], 0) + If(REGEXMATCH(C13, Sword_Bonuses[[#HEADERS],[He]]), Sword_Bonuses[He], 0) + If(REGEXMATCH(C13, Sword_B"&amp;"onuses[[#HEADERS],[Vo]]), Sword_Bonuses[Vo], 0), 0)) / K13 + SUM(R13:T13))"),122.87133333333334)</f>
        <v>122.8713333</v>
      </c>
      <c r="Y13" s="55">
        <v>123.0</v>
      </c>
      <c r="Z13" s="72">
        <f t="shared" si="4"/>
        <v>0.001046070461</v>
      </c>
    </row>
    <row r="14" ht="22.5" customHeight="1">
      <c r="A14" s="80" t="s">
        <v>93</v>
      </c>
      <c r="B14" s="81" t="s">
        <v>23</v>
      </c>
      <c r="C14" s="82" t="s">
        <v>101</v>
      </c>
      <c r="D14" s="53">
        <v>269.0</v>
      </c>
      <c r="E14" s="55">
        <v>226.0</v>
      </c>
      <c r="F14" s="56">
        <v>74.0</v>
      </c>
      <c r="G14" s="57">
        <v>0.0</v>
      </c>
      <c r="H14" s="57">
        <v>0.15</v>
      </c>
      <c r="I14" s="57">
        <v>0.0</v>
      </c>
      <c r="J14" s="58">
        <v>0.0</v>
      </c>
      <c r="K14" s="43">
        <f>IFERROR(__xludf.DUMMYFUNCTION("1 + J14 + IF(REGEXMATCH(C14, Sword_Bonuses[[#HEADERS],[Mi]]), Sword_Bonuses[Mi])  + IF(REGEXMATCH(C14, Sword_Bonuses[[#HEADERS],[Re]]), Sword_Bonuses[Re], 0) + IF(REGEXMATCH(C14, Sword_Bonuses[[#HEADERS],[Tr1]]), Sword_Bonuses[Tr1], 0) + IF(REGEXMATCH(C14"&amp;", Sword_Bonuses[[#HEADERS],[Tr2]]), Sword_Bonuses[Tr2], 0)"),1.2)</f>
        <v>1.2</v>
      </c>
      <c r="L14" s="44">
        <f t="shared" si="1"/>
        <v>88.8</v>
      </c>
      <c r="M14" s="68">
        <f>$K14 *D14 / Sword_Bonuses[Stam/Dmg]</f>
        <v>6.456</v>
      </c>
      <c r="N14" s="44">
        <f>IFERROR(__xludf.DUMMYFUNCTION("IF(G14&gt;0, ($L14+$M14) * G14 * ($K14 + IF(AND(REGEXMATCH($C14, $B14), REGEXMATCH($C14,Sword_Bonuses[[#HEADERS],[Py]])), Sword_Bonuses[Py],) ) / $K14, 0)"),0.0)</f>
        <v>0</v>
      </c>
      <c r="O14" s="44">
        <f>IFERROR(__xludf.DUMMYFUNCTION("IF(H14&gt;0, ($L14+$M14) * H14 * ($K14 + IF(AND(REGEXMATCH($C14, $B14), REGEXMATCH($C14,Sword_Bonuses[[#HEADERS],[He]])), Sword_Bonuses[He],) ) / $K14, 0)"),16.6698)</f>
        <v>16.6698</v>
      </c>
      <c r="P14" s="44">
        <f>IFERROR(__xludf.DUMMYFUNCTION("IF(I14&gt;0, ($L14+$M14) * I14 * ($K14 + IF(AND(REGEXMATCH($C14, $B14), REGEXMATCH($C14,Sword_Bonuses[[#HEADERS],[Vo]])), Sword_Bonuses[Vo],) ) / $K14, 0)"),0.0)</f>
        <v>0</v>
      </c>
      <c r="Q14" s="68">
        <f>$K14 *E14 / Sword_Bonuses[Mag/Dmg]</f>
        <v>4.52</v>
      </c>
      <c r="R14" s="44">
        <f>IFERROR(__xludf.DUMMYFUNCTION("IF(G14&gt;0, ($L14+$Q14) * G14 * ($K14 + IF(AND(REGEXMATCH($C14, $B14), REGEXMATCH($C14,Sword_Bonuses[[#HEADERS],[Py]])), Sword_Bonuses[Py],) ) / $K14, 0)"),0.0)</f>
        <v>0</v>
      </c>
      <c r="S14" s="44">
        <f>IFERROR(__xludf.DUMMYFUNCTION("IF(H14&gt;0, ($L14+$Q14) * H14 * ($K14 + IF(AND(REGEXMATCH($C14, $B14), REGEXMATCH($C14,Sword_Bonuses[[#HEADERS],[He]])), Sword_Bonuses[He],) ) / $K14, 0)"),16.331)</f>
        <v>16.331</v>
      </c>
      <c r="T14" s="44">
        <f>IFERROR(__xludf.DUMMYFUNCTION("IF(I14&gt;0, ($L14+$Q14) * I14 * ($K14 + IF(AND(REGEXMATCH($C14, $B14), REGEXMATCH($C14,Sword_Bonuses[[#HEADERS],[Vo]])), Sword_Bonuses[Vo],) ) / $K14, 0)"),0.0)</f>
        <v>0</v>
      </c>
      <c r="U14" s="64">
        <f t="shared" si="2"/>
        <v>111.9258</v>
      </c>
      <c r="V14" s="29">
        <v>112.0</v>
      </c>
      <c r="W14" s="69">
        <f t="shared" si="3"/>
        <v>0.0006625</v>
      </c>
      <c r="X14" s="71">
        <f>IFERROR(__xludf.DUMMYFUNCTION("Sword_Bonuses[Special
Mult] * ((L14 + Q14) * (K14 + IF(REGEXMATCH(C14, B14), If(REGEXMATCH(C14, Sword_Bonuses[[#HEADERS],[Py]]), Sword_Bonuses[Py], 0) + If(REGEXMATCH(C14, Sword_Bonuses[[#HEADERS],[He]]), Sword_Bonuses[He], 0) + If(REGEXMATCH(C14, Sword_B"&amp;"onuses[[#HEADERS],[Vo]]), Sword_Bonuses[Vo], 0), 0)) / K14 + SUM(R14:T14))"),125.20433333333334)</f>
        <v>125.2043333</v>
      </c>
      <c r="Y14" s="55">
        <v>125.0</v>
      </c>
      <c r="Z14" s="72">
        <f t="shared" si="4"/>
        <v>0.001634666667</v>
      </c>
    </row>
    <row r="15" ht="22.5" customHeight="1">
      <c r="A15" s="80" t="s">
        <v>93</v>
      </c>
      <c r="B15" s="81" t="s">
        <v>23</v>
      </c>
      <c r="C15" s="82" t="s">
        <v>101</v>
      </c>
      <c r="D15" s="53">
        <v>269.0</v>
      </c>
      <c r="E15" s="55">
        <v>650.0</v>
      </c>
      <c r="F15" s="56">
        <v>74.0</v>
      </c>
      <c r="G15" s="57">
        <v>0.0</v>
      </c>
      <c r="H15" s="57">
        <v>0.0</v>
      </c>
      <c r="I15" s="57">
        <v>0.15</v>
      </c>
      <c r="J15" s="58">
        <v>0.0</v>
      </c>
      <c r="K15" s="43">
        <f>IFERROR(__xludf.DUMMYFUNCTION("1 + J15 + IF(REGEXMATCH(C15, Sword_Bonuses[[#HEADERS],[Mi]]), Sword_Bonuses[Mi])  + IF(REGEXMATCH(C15, Sword_Bonuses[[#HEADERS],[Re]]), Sword_Bonuses[Re], 0) + IF(REGEXMATCH(C15, Sword_Bonuses[[#HEADERS],[Tr1]]), Sword_Bonuses[Tr1], 0) + IF(REGEXMATCH(C15"&amp;", Sword_Bonuses[[#HEADERS],[Tr2]]), Sword_Bonuses[Tr2], 0)"),1.2)</f>
        <v>1.2</v>
      </c>
      <c r="L15" s="44">
        <f t="shared" si="1"/>
        <v>88.8</v>
      </c>
      <c r="M15" s="68">
        <f>$K15 *D15 / Sword_Bonuses[Stam/Dmg]</f>
        <v>6.456</v>
      </c>
      <c r="N15" s="44">
        <f>IFERROR(__xludf.DUMMYFUNCTION("IF(G15&gt;0, ($L15+$M15) * G15 * ($K15 + IF(AND(REGEXMATCH($C15, $B15), REGEXMATCH($C15,Sword_Bonuses[[#HEADERS],[Py]])), Sword_Bonuses[Py],) ) / $K15, 0)"),0.0)</f>
        <v>0</v>
      </c>
      <c r="O15" s="44">
        <f>IFERROR(__xludf.DUMMYFUNCTION("IF(H15&gt;0, ($L15+$M15) * H15 * ($K15 + IF(AND(REGEXMATCH($C15, $B15), REGEXMATCH($C15,Sword_Bonuses[[#HEADERS],[He]])), Sword_Bonuses[He],) ) / $K15, 0)"),0.0)</f>
        <v>0</v>
      </c>
      <c r="P15" s="44">
        <f>IFERROR(__xludf.DUMMYFUNCTION("IF(I15&gt;0, ($L15+$M15) * I15 * ($K15 + IF(AND(REGEXMATCH($C15, $B15), REGEXMATCH($C15,Sword_Bonuses[[#HEADERS],[Vo]])), Sword_Bonuses[Vo],) ) / $K15, 0)"),14.2884)</f>
        <v>14.2884</v>
      </c>
      <c r="Q15" s="68">
        <f>$K15 *E15 / Sword_Bonuses[Mag/Dmg]</f>
        <v>13</v>
      </c>
      <c r="R15" s="44">
        <f>IFERROR(__xludf.DUMMYFUNCTION("IF(G15&gt;0, ($L15+$Q15) * G15 * ($K15 + IF(AND(REGEXMATCH($C15, $B15), REGEXMATCH($C15,Sword_Bonuses[[#HEADERS],[Py]])), Sword_Bonuses[Py],) ) / $K15, 0)"),0.0)</f>
        <v>0</v>
      </c>
      <c r="S15" s="44">
        <f>IFERROR(__xludf.DUMMYFUNCTION("IF(H15&gt;0, ($L15+$Q15) * H15 * ($K15 + IF(AND(REGEXMATCH($C15, $B15), REGEXMATCH($C15,Sword_Bonuses[[#HEADERS],[He]])), Sword_Bonuses[He],) ) / $K15, 0)"),0.0)</f>
        <v>0</v>
      </c>
      <c r="T15" s="44">
        <f>IFERROR(__xludf.DUMMYFUNCTION("IF(I15&gt;0, ($L15+$Q15) * I15 * ($K15 + IF(AND(REGEXMATCH($C15, $B15), REGEXMATCH($C15,Sword_Bonuses[[#HEADERS],[Vo]])), Sword_Bonuses[Vo],) ) / $K15, 0)"),15.27)</f>
        <v>15.27</v>
      </c>
      <c r="U15" s="64">
        <f t="shared" si="2"/>
        <v>109.5444</v>
      </c>
      <c r="V15" s="79">
        <v>110.0</v>
      </c>
      <c r="W15" s="69">
        <f t="shared" si="3"/>
        <v>0.004141818182</v>
      </c>
      <c r="X15" s="71">
        <f>IFERROR(__xludf.DUMMYFUNCTION("Sword_Bonuses[Special
Mult] * ((L15 + Q15) * (K15 + IF(REGEXMATCH(C15, B15), If(REGEXMATCH(C15, Sword_Bonuses[[#HEADERS],[Py]]), Sword_Bonuses[Py], 0) + If(REGEXMATCH(C15, Sword_Bonuses[[#HEADERS],[He]]), Sword_Bonuses[He], 0) + If(REGEXMATCH(C15, Sword_B"&amp;"onuses[[#HEADERS],[Vo]]), Sword_Bonuses[Vo], 0), 0)) / K15 + SUM(R15:T15))"),134.03666666666666)</f>
        <v>134.0366667</v>
      </c>
      <c r="Y15" s="55">
        <v>134.0</v>
      </c>
      <c r="Z15" s="72">
        <f t="shared" si="4"/>
        <v>0.0002736318408</v>
      </c>
    </row>
    <row r="16" ht="22.5" customHeight="1">
      <c r="A16" s="80" t="s">
        <v>93</v>
      </c>
      <c r="B16" s="81" t="s">
        <v>23</v>
      </c>
      <c r="C16" s="82" t="s">
        <v>101</v>
      </c>
      <c r="D16" s="53">
        <v>269.0</v>
      </c>
      <c r="E16" s="55">
        <v>650.0</v>
      </c>
      <c r="F16" s="56">
        <v>74.0</v>
      </c>
      <c r="G16" s="57">
        <v>0.0</v>
      </c>
      <c r="H16" s="57">
        <v>0.15</v>
      </c>
      <c r="I16" s="57">
        <v>0.0</v>
      </c>
      <c r="J16" s="58">
        <v>0.0</v>
      </c>
      <c r="K16" s="43">
        <f>IFERROR(__xludf.DUMMYFUNCTION("1 + J16 + IF(REGEXMATCH(C16, Sword_Bonuses[[#HEADERS],[Mi]]), Sword_Bonuses[Mi])  + IF(REGEXMATCH(C16, Sword_Bonuses[[#HEADERS],[Re]]), Sword_Bonuses[Re], 0) + IF(REGEXMATCH(C16, Sword_Bonuses[[#HEADERS],[Tr1]]), Sword_Bonuses[Tr1], 0) + IF(REGEXMATCH(C16"&amp;", Sword_Bonuses[[#HEADERS],[Tr2]]), Sword_Bonuses[Tr2], 0)"),1.2)</f>
        <v>1.2</v>
      </c>
      <c r="L16" s="44">
        <f t="shared" si="1"/>
        <v>88.8</v>
      </c>
      <c r="M16" s="68">
        <f>$K16 *D16 / Sword_Bonuses[Stam/Dmg]</f>
        <v>6.456</v>
      </c>
      <c r="N16" s="44">
        <f>IFERROR(__xludf.DUMMYFUNCTION("IF(G16&gt;0, ($L16+$M16) * G16 * ($K16 + IF(AND(REGEXMATCH($C16, $B16), REGEXMATCH($C16,Sword_Bonuses[[#HEADERS],[Py]])), Sword_Bonuses[Py],) ) / $K16, 0)"),0.0)</f>
        <v>0</v>
      </c>
      <c r="O16" s="44">
        <f>IFERROR(__xludf.DUMMYFUNCTION("IF(H16&gt;0, ($L16+$M16) * H16 * ($K16 + IF(AND(REGEXMATCH($C16, $B16), REGEXMATCH($C16,Sword_Bonuses[[#HEADERS],[He]])), Sword_Bonuses[He],) ) / $K16, 0)"),16.6698)</f>
        <v>16.6698</v>
      </c>
      <c r="P16" s="44">
        <f>IFERROR(__xludf.DUMMYFUNCTION("IF(I16&gt;0, ($L16+$M16) * I16 * ($K16 + IF(AND(REGEXMATCH($C16, $B16), REGEXMATCH($C16,Sword_Bonuses[[#HEADERS],[Vo]])), Sword_Bonuses[Vo],) ) / $K16, 0)"),0.0)</f>
        <v>0</v>
      </c>
      <c r="Q16" s="68">
        <f>$K16 *E16 / Sword_Bonuses[Mag/Dmg]</f>
        <v>13</v>
      </c>
      <c r="R16" s="44">
        <f>IFERROR(__xludf.DUMMYFUNCTION("IF(G16&gt;0, ($L16+$Q16) * G16 * ($K16 + IF(AND(REGEXMATCH($C16, $B16), REGEXMATCH($C16,Sword_Bonuses[[#HEADERS],[Py]])), Sword_Bonuses[Py],) ) / $K16, 0)"),0.0)</f>
        <v>0</v>
      </c>
      <c r="S16" s="44">
        <f>IFERROR(__xludf.DUMMYFUNCTION("IF(H16&gt;0, ($L16+$Q16) * H16 * ($K16 + IF(AND(REGEXMATCH($C16, $B16), REGEXMATCH($C16,Sword_Bonuses[[#HEADERS],[He]])), Sword_Bonuses[He],) ) / $K16, 0)"),17.814999999999998)</f>
        <v>17.815</v>
      </c>
      <c r="T16" s="44">
        <f>IFERROR(__xludf.DUMMYFUNCTION("IF(I16&gt;0, ($L16+$Q16) * I16 * ($K16 + IF(AND(REGEXMATCH($C16, $B16), REGEXMATCH($C16,Sword_Bonuses[[#HEADERS],[Vo]])), Sword_Bonuses[Vo],) ) / $K16, 0)"),0.0)</f>
        <v>0</v>
      </c>
      <c r="U16" s="64">
        <f t="shared" si="2"/>
        <v>111.9258</v>
      </c>
      <c r="V16" s="29">
        <v>112.0</v>
      </c>
      <c r="W16" s="69">
        <f t="shared" si="3"/>
        <v>0.0006625</v>
      </c>
      <c r="X16" s="71">
        <f>IFERROR(__xludf.DUMMYFUNCTION("Sword_Bonuses[Special
Mult] * ((L16 + Q16) * (K16 + IF(REGEXMATCH(C16, B16), If(REGEXMATCH(C16, Sword_Bonuses[[#HEADERS],[Py]]), Sword_Bonuses[Py], 0) + If(REGEXMATCH(C16, Sword_Bonuses[[#HEADERS],[He]]), Sword_Bonuses[He], 0) + If(REGEXMATCH(C16, Sword_B"&amp;"onuses[[#HEADERS],[Vo]]), Sword_Bonuses[Vo], 0), 0)) / K16 + SUM(R16:T16))"),136.58166666666665)</f>
        <v>136.5816667</v>
      </c>
      <c r="Y16" s="55">
        <v>135.0</v>
      </c>
      <c r="Z16" s="72">
        <f t="shared" si="4"/>
        <v>0.01171604938</v>
      </c>
    </row>
    <row r="17" ht="22.5" customHeight="1">
      <c r="A17" s="80" t="s">
        <v>93</v>
      </c>
      <c r="B17" s="81" t="s">
        <v>23</v>
      </c>
      <c r="C17" s="82" t="s">
        <v>101</v>
      </c>
      <c r="D17" s="53">
        <v>539.0</v>
      </c>
      <c r="E17" s="55">
        <v>226.0</v>
      </c>
      <c r="F17" s="56">
        <v>74.0</v>
      </c>
      <c r="G17" s="57">
        <v>0.0</v>
      </c>
      <c r="H17" s="57">
        <v>0.0</v>
      </c>
      <c r="I17" s="57">
        <v>0.15</v>
      </c>
      <c r="J17" s="58">
        <v>0.3</v>
      </c>
      <c r="K17" s="43">
        <f>IFERROR(__xludf.DUMMYFUNCTION("1 + J17 + IF(REGEXMATCH(C17, Sword_Bonuses[[#HEADERS],[Mi]]), Sword_Bonuses[Mi])  + IF(REGEXMATCH(C17, Sword_Bonuses[[#HEADERS],[Re]]), Sword_Bonuses[Re], 0) + IF(REGEXMATCH(C17, Sword_Bonuses[[#HEADERS],[Tr1]]), Sword_Bonuses[Tr1], 0) + IF(REGEXMATCH(C17"&amp;", Sword_Bonuses[[#HEADERS],[Tr2]]), Sword_Bonuses[Tr2], 0)"),1.5)</f>
        <v>1.5</v>
      </c>
      <c r="L17" s="44">
        <f t="shared" si="1"/>
        <v>111</v>
      </c>
      <c r="M17" s="68">
        <f>$K17 *D17 / Sword_Bonuses[Stam/Dmg]</f>
        <v>16.17</v>
      </c>
      <c r="N17" s="44">
        <f>IFERROR(__xludf.DUMMYFUNCTION("IF(G17&gt;0, ($L17+$M17) * G17 * ($K17 + IF(AND(REGEXMATCH($C17, $B17), REGEXMATCH($C17,Sword_Bonuses[[#HEADERS],[Py]])), Sword_Bonuses[Py],) ) / $K17, 0)"),0.0)</f>
        <v>0</v>
      </c>
      <c r="O17" s="44">
        <f>IFERROR(__xludf.DUMMYFUNCTION("IF(H17&gt;0, ($L17+$M17) * H17 * ($K17 + IF(AND(REGEXMATCH($C17, $B17), REGEXMATCH($C17,Sword_Bonuses[[#HEADERS],[He]])), Sword_Bonuses[He],) ) / $K17, 0)"),0.0)</f>
        <v>0</v>
      </c>
      <c r="P17" s="44">
        <f>IFERROR(__xludf.DUMMYFUNCTION("IF(I17&gt;0, ($L17+$M17) * I17 * ($K17 + IF(AND(REGEXMATCH($C17, $B17), REGEXMATCH($C17,Sword_Bonuses[[#HEADERS],[Vo]])), Sword_Bonuses[Vo],) ) / $K17, 0)"),19.075499999999998)</f>
        <v>19.0755</v>
      </c>
      <c r="Q17" s="68">
        <f>$K17 *E17 / Sword_Bonuses[Mag/Dmg]</f>
        <v>5.65</v>
      </c>
      <c r="R17" s="44">
        <f>IFERROR(__xludf.DUMMYFUNCTION("IF(G17&gt;0, ($L17+$Q17) * G17 * ($K17 + IF(AND(REGEXMATCH($C17, $B17), REGEXMATCH($C17,Sword_Bonuses[[#HEADERS],[Py]])), Sword_Bonuses[Py],) ) / $K17, 0)"),0.0)</f>
        <v>0</v>
      </c>
      <c r="S17" s="44">
        <f>IFERROR(__xludf.DUMMYFUNCTION("IF(H17&gt;0, ($L17+$Q17) * H17 * ($K17 + IF(AND(REGEXMATCH($C17, $B17), REGEXMATCH($C17,Sword_Bonuses[[#HEADERS],[He]])), Sword_Bonuses[He],) ) / $K17, 0)"),0.0)</f>
        <v>0</v>
      </c>
      <c r="T17" s="44">
        <f>IFERROR(__xludf.DUMMYFUNCTION("IF(I17&gt;0, ($L17+$Q17) * I17 * ($K17 + IF(AND(REGEXMATCH($C17, $B17), REGEXMATCH($C17,Sword_Bonuses[[#HEADERS],[Vo]])), Sword_Bonuses[Vo],) ) / $K17, 0)"),17.4975)</f>
        <v>17.4975</v>
      </c>
      <c r="U17" s="64">
        <f t="shared" si="2"/>
        <v>146.2455</v>
      </c>
      <c r="V17" s="79">
        <v>146.0</v>
      </c>
      <c r="W17" s="69">
        <f t="shared" si="3"/>
        <v>0.001681506849</v>
      </c>
      <c r="X17" s="71">
        <f>IFERROR(__xludf.DUMMYFUNCTION("Sword_Bonuses[Special
Mult] * ((L17 + Q17) * (K17 + IF(REGEXMATCH(C17, B17), If(REGEXMATCH(C17, Sword_Bonuses[[#HEADERS],[Py]]), Sword_Bonuses[Py], 0) + If(REGEXMATCH(C17, Sword_Bonuses[[#HEADERS],[He]]), Sword_Bonuses[He], 0) + If(REGEXMATCH(C17, Sword_B"&amp;"onuses[[#HEADERS],[Vo]]), Sword_Bonuses[Vo], 0), 0)) / K17 + SUM(R17:T17))"),149.70083333333335)</f>
        <v>149.7008333</v>
      </c>
      <c r="Y17" s="55">
        <v>150.0</v>
      </c>
      <c r="Z17" s="72">
        <f t="shared" si="4"/>
        <v>0.001994444444</v>
      </c>
    </row>
    <row r="18" ht="22.5" customHeight="1">
      <c r="A18" s="114" t="s">
        <v>93</v>
      </c>
      <c r="B18" s="115" t="s">
        <v>23</v>
      </c>
      <c r="C18" s="117" t="s">
        <v>101</v>
      </c>
      <c r="D18" s="118">
        <v>539.0</v>
      </c>
      <c r="E18" s="55">
        <v>226.0</v>
      </c>
      <c r="F18" s="120">
        <v>74.0</v>
      </c>
      <c r="G18" s="121">
        <v>0.0</v>
      </c>
      <c r="H18" s="121">
        <v>0.15</v>
      </c>
      <c r="I18" s="121">
        <v>0.0</v>
      </c>
      <c r="J18" s="123">
        <v>0.3</v>
      </c>
      <c r="K18" s="43">
        <f>IFERROR(__xludf.DUMMYFUNCTION("1 + J18 + IF(REGEXMATCH(C18, Sword_Bonuses[[#HEADERS],[Mi]]), Sword_Bonuses[Mi])  + IF(REGEXMATCH(C18, Sword_Bonuses[[#HEADERS],[Re]]), Sword_Bonuses[Re], 0) + IF(REGEXMATCH(C18, Sword_Bonuses[[#HEADERS],[Tr1]]), Sword_Bonuses[Tr1], 0) + IF(REGEXMATCH(C18"&amp;", Sword_Bonuses[[#HEADERS],[Tr2]]), Sword_Bonuses[Tr2], 0)"),1.5)</f>
        <v>1.5</v>
      </c>
      <c r="L18" s="44">
        <f t="shared" si="1"/>
        <v>111</v>
      </c>
      <c r="M18" s="68">
        <f>$K18 *D18 / Sword_Bonuses[Stam/Dmg]</f>
        <v>16.17</v>
      </c>
      <c r="N18" s="44">
        <f>IFERROR(__xludf.DUMMYFUNCTION("IF(G18&gt;0, ($L18+$M18) * G18 * ($K18 + IF(AND(REGEXMATCH($C18, $B18), REGEXMATCH($C18,Sword_Bonuses[[#HEADERS],[Py]])), Sword_Bonuses[Py],) ) / $K18, 0)"),0.0)</f>
        <v>0</v>
      </c>
      <c r="O18" s="44">
        <f>IFERROR(__xludf.DUMMYFUNCTION("IF(H18&gt;0, ($L18+$M18) * H18 * ($K18 + IF(AND(REGEXMATCH($C18, $B18), REGEXMATCH($C18,Sword_Bonuses[[#HEADERS],[He]])), Sword_Bonuses[He],) ) / $K18, 0)"),21.618899999999996)</f>
        <v>21.6189</v>
      </c>
      <c r="P18" s="44">
        <f>IFERROR(__xludf.DUMMYFUNCTION("IF(I18&gt;0, ($L18+$M18) * I18 * ($K18 + IF(AND(REGEXMATCH($C18, $B18), REGEXMATCH($C18,Sword_Bonuses[[#HEADERS],[Vo]])), Sword_Bonuses[Vo],) ) / $K18, 0)"),0.0)</f>
        <v>0</v>
      </c>
      <c r="Q18" s="68">
        <f>$K18 *E18 / Sword_Bonuses[Mag/Dmg]</f>
        <v>5.65</v>
      </c>
      <c r="R18" s="44">
        <f>IFERROR(__xludf.DUMMYFUNCTION("IF(G18&gt;0, ($L18+$Q18) * G18 * ($K18 + IF(AND(REGEXMATCH($C18, $B18), REGEXMATCH($C18,Sword_Bonuses[[#HEADERS],[Py]])), Sword_Bonuses[Py],) ) / $K18, 0)"),0.0)</f>
        <v>0</v>
      </c>
      <c r="S18" s="44">
        <f>IFERROR(__xludf.DUMMYFUNCTION("IF(H18&gt;0, ($L18+$Q18) * H18 * ($K18 + IF(AND(REGEXMATCH($C18, $B18), REGEXMATCH($C18,Sword_Bonuses[[#HEADERS],[He]])), Sword_Bonuses[He],) ) / $K18, 0)"),19.830499999999997)</f>
        <v>19.8305</v>
      </c>
      <c r="T18" s="44">
        <f>IFERROR(__xludf.DUMMYFUNCTION("IF(I18&gt;0, ($L18+$Q18) * I18 * ($K18 + IF(AND(REGEXMATCH($C18, $B18), REGEXMATCH($C18,Sword_Bonuses[[#HEADERS],[Vo]])), Sword_Bonuses[Vo],) ) / $K18, 0)"),0.0)</f>
        <v>0</v>
      </c>
      <c r="U18" s="64">
        <f t="shared" si="2"/>
        <v>148.7889</v>
      </c>
      <c r="V18" s="135">
        <v>149.0</v>
      </c>
      <c r="W18" s="69">
        <f t="shared" si="3"/>
        <v>0.001416778523</v>
      </c>
      <c r="X18" s="71">
        <f>IFERROR(__xludf.DUMMYFUNCTION("Sword_Bonuses[Special
Mult] * ((L18 + Q18) * (K18 + IF(REGEXMATCH(C18, B18), If(REGEXMATCH(C18, Sword_Bonuses[[#HEADERS],[Py]]), Sword_Bonuses[Py], 0) + If(REGEXMATCH(C18, Sword_Bonuses[[#HEADERS],[He]]), Sword_Bonuses[He], 0) + If(REGEXMATCH(C18, Sword_B"&amp;"onuses[[#HEADERS],[Vo]]), Sword_Bonuses[Vo], 0), 0)) / K18 + SUM(R18:T18))"),152.03383333333335)</f>
        <v>152.0338333</v>
      </c>
      <c r="Y18" s="55">
        <v>152.0</v>
      </c>
      <c r="Z18" s="72">
        <f t="shared" si="4"/>
        <v>0.0002225877193</v>
      </c>
    </row>
    <row r="19" ht="22.5" customHeight="1">
      <c r="A19" s="85" t="s">
        <v>94</v>
      </c>
      <c r="B19" s="85" t="s">
        <v>23</v>
      </c>
      <c r="C19" s="85" t="s">
        <v>104</v>
      </c>
      <c r="D19" s="137">
        <v>1440.0</v>
      </c>
      <c r="E19" s="55">
        <v>227.0</v>
      </c>
      <c r="F19" s="88">
        <v>138.0</v>
      </c>
      <c r="G19" s="138">
        <v>0.2</v>
      </c>
      <c r="H19" s="138">
        <v>0.0</v>
      </c>
      <c r="I19" s="138">
        <v>0.0</v>
      </c>
      <c r="J19" s="139">
        <v>0.0</v>
      </c>
      <c r="K19" s="90">
        <f>IFERROR(__xludf.DUMMYFUNCTION("1 + J19 + IF(REGEXMATCH(C19, Sword_Bonuses[[#HEADERS],[Mi]]), Sword_Bonuses[Mi])  + IF(REGEXMATCH(C19, Sword_Bonuses[[#HEADERS],[Re]]), Sword_Bonuses[Re], 0) + IF(REGEXMATCH(C19, Sword_Bonuses[[#HEADERS],[Tr1]]), Sword_Bonuses[Tr1], 0) + IF(REGEXMATCH(C19"&amp;", Sword_Bonuses[[#HEADERS],[Tr2]]), Sword_Bonuses[Tr2], 0)"),1.4)</f>
        <v>1.4</v>
      </c>
      <c r="L19" s="63">
        <f t="shared" si="1"/>
        <v>193.2</v>
      </c>
      <c r="M19" s="44">
        <f>$K19 *D19 / Sword_Bonuses[Stam/Dmg]</f>
        <v>40.32</v>
      </c>
      <c r="N19" s="44">
        <f>IFERROR(__xludf.DUMMYFUNCTION("IF(G19&gt;0, ($L19+$M19) * G19 * ($K19 + IF(AND(REGEXMATCH($C19, $B19), REGEXMATCH($C19,Sword_Bonuses[[#HEADERS],[Py]])), Sword_Bonuses[Py],) ) / $K19, 0)"),46.704)</f>
        <v>46.704</v>
      </c>
      <c r="O19" s="44">
        <f>IFERROR(__xludf.DUMMYFUNCTION("IF(H19&gt;0, ($L19+$M19) * H19 * ($K19 + IF(AND(REGEXMATCH($C19, $B19), REGEXMATCH($C19,Sword_Bonuses[[#HEADERS],[He]])), Sword_Bonuses[He],) ) / $K19, 0)"),0.0)</f>
        <v>0</v>
      </c>
      <c r="P19" s="63">
        <f>IFERROR(__xludf.DUMMYFUNCTION("IF(I19&gt;0, ($L19+$M19) * I19 * ($K19 + IF(AND(REGEXMATCH($C19, $B19), REGEXMATCH($C19,Sword_Bonuses[[#HEADERS],[Vo]])), Sword_Bonuses[Vo],) ) / $K19, 0)"),0.0)</f>
        <v>0</v>
      </c>
      <c r="Q19" s="44">
        <f>$K19 *E19 / Sword_Bonuses[Mag/Dmg]</f>
        <v>5.296666667</v>
      </c>
      <c r="R19" s="44">
        <f>IFERROR(__xludf.DUMMYFUNCTION("IF(G19&gt;0, ($L19+$Q19) * G19 * ($K19 + IF(AND(REGEXMATCH($C19, $B19), REGEXMATCH($C19,Sword_Bonuses[[#HEADERS],[Py]])), Sword_Bonuses[Py],) ) / $K19, 0)"),39.69933333333333)</f>
        <v>39.69933333</v>
      </c>
      <c r="S19" s="44">
        <f>IFERROR(__xludf.DUMMYFUNCTION("IF(H19&gt;0, ($L19+$Q19) * H19 * ($K19 + IF(AND(REGEXMATCH($C19, $B19), REGEXMATCH($C19,Sword_Bonuses[[#HEADERS],[He]])), Sword_Bonuses[He],) ) / $K19, 0)"),0.0)</f>
        <v>0</v>
      </c>
      <c r="T19" s="63">
        <f>IFERROR(__xludf.DUMMYFUNCTION("IF(I19&gt;0, ($L19+$Q19) * I19 * ($K19 + IF(AND(REGEXMATCH($C19, $B19), REGEXMATCH($C19,Sword_Bonuses[[#HEADERS],[Vo]])), Sword_Bonuses[Vo],) ) / $K19, 0)"),0.0)</f>
        <v>0</v>
      </c>
      <c r="U19" s="92">
        <f t="shared" si="2"/>
        <v>280.224</v>
      </c>
      <c r="V19" s="55">
        <v>280.0</v>
      </c>
      <c r="W19" s="72">
        <f t="shared" si="3"/>
        <v>0.0008</v>
      </c>
      <c r="X19" s="71">
        <f>IFERROR(__xludf.DUMMYFUNCTION("Sword_Bonuses[Special
Mult] * ((L19 + Q19) * (K19 + IF(REGEXMATCH(C19, B19), If(REGEXMATCH(C19, Sword_Bonuses[[#HEADERS],[Py]]), Sword_Bonuses[Py], 0) + If(REGEXMATCH(C19, Sword_Bonuses[[#HEADERS],[He]]), Sword_Bonuses[He], 0) + If(REGEXMATCH(C19, Sword_B"&amp;"onuses[[#HEADERS],[Vo]]), Sword_Bonuses[Vo], 0), 0)) / K19 + SUM(R19:T19))"),238.19599999999997)</f>
        <v>238.196</v>
      </c>
      <c r="Y19" s="55">
        <v>238.0</v>
      </c>
      <c r="Z19" s="72">
        <f t="shared" si="4"/>
        <v>0.0008235294118</v>
      </c>
    </row>
    <row r="20" ht="22.5" customHeight="1">
      <c r="A20" s="85" t="s">
        <v>94</v>
      </c>
      <c r="B20" s="85" t="s">
        <v>23</v>
      </c>
      <c r="C20" s="85" t="s">
        <v>104</v>
      </c>
      <c r="D20" s="137">
        <v>819.0</v>
      </c>
      <c r="E20" s="55">
        <v>227.0</v>
      </c>
      <c r="F20" s="88">
        <v>138.0</v>
      </c>
      <c r="G20" s="138">
        <v>0.2</v>
      </c>
      <c r="H20" s="138">
        <v>0.0</v>
      </c>
      <c r="I20" s="138">
        <v>0.0</v>
      </c>
      <c r="J20" s="139">
        <v>0.3</v>
      </c>
      <c r="K20" s="90">
        <f>IFERROR(__xludf.DUMMYFUNCTION("1 + J20 + IF(REGEXMATCH(C20, Sword_Bonuses[[#HEADERS],[Mi]]), Sword_Bonuses[Mi])  + IF(REGEXMATCH(C20, Sword_Bonuses[[#HEADERS],[Re]]), Sword_Bonuses[Re], 0) + IF(REGEXMATCH(C20, Sword_Bonuses[[#HEADERS],[Tr1]]), Sword_Bonuses[Tr1], 0) + IF(REGEXMATCH(C20"&amp;", Sword_Bonuses[[#HEADERS],[Tr2]]), Sword_Bonuses[Tr2], 0)"),1.7)</f>
        <v>1.7</v>
      </c>
      <c r="L20" s="63">
        <f t="shared" si="1"/>
        <v>234.6</v>
      </c>
      <c r="M20" s="44">
        <f>$K20 *D20 / Sword_Bonuses[Stam/Dmg]</f>
        <v>27.846</v>
      </c>
      <c r="N20" s="44">
        <f>IFERROR(__xludf.DUMMYFUNCTION("IF(G20&gt;0, ($L20+$M20) * G20 * ($K20 + IF(AND(REGEXMATCH($C20, $B20), REGEXMATCH($C20,Sword_Bonuses[[#HEADERS],[Py]])), Sword_Bonuses[Py],) ) / $K20, 0)"),52.489200000000004)</f>
        <v>52.4892</v>
      </c>
      <c r="O20" s="44">
        <f>IFERROR(__xludf.DUMMYFUNCTION("IF(H20&gt;0, ($L20+$M20) * H20 * ($K20 + IF(AND(REGEXMATCH($C20, $B20), REGEXMATCH($C20,Sword_Bonuses[[#HEADERS],[He]])), Sword_Bonuses[He],) ) / $K20, 0)"),0.0)</f>
        <v>0</v>
      </c>
      <c r="P20" s="63">
        <f>IFERROR(__xludf.DUMMYFUNCTION("IF(I20&gt;0, ($L20+$M20) * I20 * ($K20 + IF(AND(REGEXMATCH($C20, $B20), REGEXMATCH($C20,Sword_Bonuses[[#HEADERS],[Vo]])), Sword_Bonuses[Vo],) ) / $K20, 0)"),0.0)</f>
        <v>0</v>
      </c>
      <c r="Q20" s="44">
        <f>$K20 *E20 / Sword_Bonuses[Mag/Dmg]</f>
        <v>6.431666667</v>
      </c>
      <c r="R20" s="44">
        <f>IFERROR(__xludf.DUMMYFUNCTION("IF(G20&gt;0, ($L20+$Q20) * G20 * ($K20 + IF(AND(REGEXMATCH($C20, $B20), REGEXMATCH($C20,Sword_Bonuses[[#HEADERS],[Py]])), Sword_Bonuses[Py],) ) / $K20, 0)"),48.20633333333333)</f>
        <v>48.20633333</v>
      </c>
      <c r="S20" s="44">
        <f>IFERROR(__xludf.DUMMYFUNCTION("IF(H20&gt;0, ($L20+$Q20) * H20 * ($K20 + IF(AND(REGEXMATCH($C20, $B20), REGEXMATCH($C20,Sword_Bonuses[[#HEADERS],[He]])), Sword_Bonuses[He],) ) / $K20, 0)"),0.0)</f>
        <v>0</v>
      </c>
      <c r="T20" s="63">
        <f>IFERROR(__xludf.DUMMYFUNCTION("IF(I20&gt;0, ($L20+$Q20) * I20 * ($K20 + IF(AND(REGEXMATCH($C20, $B20), REGEXMATCH($C20,Sword_Bonuses[[#HEADERS],[Vo]])), Sword_Bonuses[Vo],) ) / $K20, 0)"),0.0)</f>
        <v>0</v>
      </c>
      <c r="U20" s="92">
        <f t="shared" si="2"/>
        <v>314.9352</v>
      </c>
      <c r="V20" s="55">
        <v>314.0</v>
      </c>
      <c r="W20" s="72">
        <f t="shared" si="3"/>
        <v>0.002978343949</v>
      </c>
      <c r="X20" s="71">
        <f>IFERROR(__xludf.DUMMYFUNCTION("Sword_Bonuses[Special
Mult] * ((L20 + Q20) * (K20 + IF(REGEXMATCH(C20, B20), If(REGEXMATCH(C20, Sword_Bonuses[[#HEADERS],[Py]]), Sword_Bonuses[Py], 0) + If(REGEXMATCH(C20, Sword_Bonuses[[#HEADERS],[He]]), Sword_Bonuses[He], 0) + If(REGEXMATCH(C20, Sword_B"&amp;"onuses[[#HEADERS],[Vo]]), Sword_Bonuses[Vo], 0), 0)) / K20 + SUM(R20:T20))"),289.238)</f>
        <v>289.238</v>
      </c>
      <c r="Y20" s="55">
        <v>290.0</v>
      </c>
      <c r="Z20" s="69">
        <f t="shared" si="4"/>
        <v>0.002627586207</v>
      </c>
    </row>
    <row r="21" ht="22.5" customHeight="1">
      <c r="A21" s="84" t="s">
        <v>75</v>
      </c>
      <c r="B21" s="85" t="s">
        <v>23</v>
      </c>
      <c r="C21" s="85" t="s">
        <v>104</v>
      </c>
      <c r="D21" s="173">
        <v>490.0</v>
      </c>
      <c r="E21" s="55">
        <v>651.0</v>
      </c>
      <c r="F21" s="176">
        <v>114.0</v>
      </c>
      <c r="G21" s="138">
        <v>0.0</v>
      </c>
      <c r="H21" s="138">
        <v>0.0</v>
      </c>
      <c r="I21" s="138">
        <v>0.0</v>
      </c>
      <c r="J21" s="179">
        <v>0.0</v>
      </c>
      <c r="K21" s="90">
        <f>IFERROR(__xludf.DUMMYFUNCTION("1 + J21 + IF(REGEXMATCH(C21, Sword_Bonuses[[#HEADERS],[Mi]]), Sword_Bonuses[Mi])  + IF(REGEXMATCH(C21, Sword_Bonuses[[#HEADERS],[Re]]), Sword_Bonuses[Re], 0) + IF(REGEXMATCH(C21, Sword_Bonuses[[#HEADERS],[Tr1]]), Sword_Bonuses[Tr1], 0) + IF(REGEXMATCH(C21"&amp;", Sword_Bonuses[[#HEADERS],[Tr2]]), Sword_Bonuses[Tr2], 0)"),1.4)</f>
        <v>1.4</v>
      </c>
      <c r="L21" s="44">
        <f t="shared" si="1"/>
        <v>159.6</v>
      </c>
      <c r="M21" s="68">
        <f>$K21 *D21 / Sword_Bonuses[Stam/Dmg]</f>
        <v>13.72</v>
      </c>
      <c r="N21" s="44">
        <f>IFERROR(__xludf.DUMMYFUNCTION("IF(G21&gt;0, ($L21+$M21) * G21 * ($K21 + IF(AND(REGEXMATCH($C21, $B21), REGEXMATCH($C21,Sword_Bonuses[[#HEADERS],[Py]])), Sword_Bonuses[Py],) ) / $K21, 0)"),0.0)</f>
        <v>0</v>
      </c>
      <c r="O21" s="44">
        <f>IFERROR(__xludf.DUMMYFUNCTION("IF(H21&gt;0, ($L21+$M21) * H21 * ($K21 + IF(AND(REGEXMATCH($C21, $B21), REGEXMATCH($C21,Sword_Bonuses[[#HEADERS],[He]])), Sword_Bonuses[He],) ) / $K21, 0)"),0.0)</f>
        <v>0</v>
      </c>
      <c r="P21" s="44">
        <f>IFERROR(__xludf.DUMMYFUNCTION("IF(I21&gt;0, ($L21+$M21) * I21 * ($K21 + IF(AND(REGEXMATCH($C21, $B21), REGEXMATCH($C21,Sword_Bonuses[[#HEADERS],[Vo]])), Sword_Bonuses[Vo],) ) / $K21, 0)"),0.0)</f>
        <v>0</v>
      </c>
      <c r="Q21" s="68">
        <f>$K21 *E21 / Sword_Bonuses[Mag/Dmg]</f>
        <v>15.19</v>
      </c>
      <c r="R21" s="44">
        <f>IFERROR(__xludf.DUMMYFUNCTION("IF(G21&gt;0, ($L21+$Q21) * G21 * ($K21 + IF(AND(REGEXMATCH($C21, $B21), REGEXMATCH($C21,Sword_Bonuses[[#HEADERS],[Py]])), Sword_Bonuses[Py],) ) / $K21, 0)"),0.0)</f>
        <v>0</v>
      </c>
      <c r="S21" s="44">
        <f>IFERROR(__xludf.DUMMYFUNCTION("IF(H21&gt;0, ($L21+$Q21) * H21 * ($K21 + IF(AND(REGEXMATCH($C21, $B21), REGEXMATCH($C21,Sword_Bonuses[[#HEADERS],[He]])), Sword_Bonuses[He],) ) / $K21, 0)"),0.0)</f>
        <v>0</v>
      </c>
      <c r="T21" s="44">
        <f>IFERROR(__xludf.DUMMYFUNCTION("IF(I21&gt;0, ($L21+$Q21) * I21 * ($K21 + IF(AND(REGEXMATCH($C21, $B21), REGEXMATCH($C21,Sword_Bonuses[[#HEADERS],[Vo]])), Sword_Bonuses[Vo],) ) / $K21, 0)"),0.0)</f>
        <v>0</v>
      </c>
      <c r="U21" s="64">
        <f t="shared" si="2"/>
        <v>173.32</v>
      </c>
      <c r="V21" s="55">
        <v>173.0</v>
      </c>
      <c r="W21" s="69">
        <f t="shared" si="3"/>
        <v>0.001849710983</v>
      </c>
      <c r="X21" s="93">
        <f>IFERROR(__xludf.DUMMYFUNCTION("Sword_Bonuses[Special
Mult] * ((L21 + Q21) * (K21 + IF(REGEXMATCH(C21, B21), If(REGEXMATCH(C21, Sword_Bonuses[[#HEADERS],[Py]]), Sword_Bonuses[Py], 0) + If(REGEXMATCH(C21, Sword_Bonuses[[#HEADERS],[He]]), Sword_Bonuses[He], 0) + If(REGEXMATCH(C21, Sword_B"&amp;"onuses[[#HEADERS],[Vo]]), Sword_Bonuses[Vo], 0), 0)) / K21 + SUM(R21:T21))"),174.79)</f>
        <v>174.79</v>
      </c>
      <c r="Y21" s="55">
        <v>174.0</v>
      </c>
      <c r="Z21" s="72">
        <f t="shared" si="4"/>
        <v>0.004540229885</v>
      </c>
    </row>
    <row r="22" ht="22.5" customHeight="1">
      <c r="A22" s="84" t="s">
        <v>75</v>
      </c>
      <c r="B22" s="85" t="s">
        <v>23</v>
      </c>
      <c r="C22" s="85" t="s">
        <v>104</v>
      </c>
      <c r="D22" s="173">
        <v>760.0</v>
      </c>
      <c r="E22" s="55">
        <v>227.0</v>
      </c>
      <c r="F22" s="176">
        <v>114.0</v>
      </c>
      <c r="G22" s="138">
        <v>0.0</v>
      </c>
      <c r="H22" s="138">
        <v>0.0</v>
      </c>
      <c r="I22" s="138">
        <v>0.0</v>
      </c>
      <c r="J22" s="179">
        <v>0.3</v>
      </c>
      <c r="K22" s="90">
        <f>IFERROR(__xludf.DUMMYFUNCTION("1 + J22 + IF(REGEXMATCH(C22, Sword_Bonuses[[#HEADERS],[Mi]]), Sword_Bonuses[Mi])  + IF(REGEXMATCH(C22, Sword_Bonuses[[#HEADERS],[Re]]), Sword_Bonuses[Re], 0) + IF(REGEXMATCH(C22, Sword_Bonuses[[#HEADERS],[Tr1]]), Sword_Bonuses[Tr1], 0) + IF(REGEXMATCH(C22"&amp;", Sword_Bonuses[[#HEADERS],[Tr2]]), Sword_Bonuses[Tr2], 0)"),1.7)</f>
        <v>1.7</v>
      </c>
      <c r="L22" s="44">
        <f t="shared" si="1"/>
        <v>193.8</v>
      </c>
      <c r="M22" s="68">
        <f>$K22 *D22 / Sword_Bonuses[Stam/Dmg]</f>
        <v>25.84</v>
      </c>
      <c r="N22" s="44">
        <f>IFERROR(__xludf.DUMMYFUNCTION("IF(G22&gt;0, ($L22+$M22) * G22 * ($K22 + IF(AND(REGEXMATCH($C22, $B22), REGEXMATCH($C22,Sword_Bonuses[[#HEADERS],[Py]])), Sword_Bonuses[Py],) ) / $K22, 0)"),0.0)</f>
        <v>0</v>
      </c>
      <c r="O22" s="44">
        <f>IFERROR(__xludf.DUMMYFUNCTION("IF(H22&gt;0, ($L22+$M22) * H22 * ($K22 + IF(AND(REGEXMATCH($C22, $B22), REGEXMATCH($C22,Sword_Bonuses[[#HEADERS],[He]])), Sword_Bonuses[He],) ) / $K22, 0)"),0.0)</f>
        <v>0</v>
      </c>
      <c r="P22" s="44">
        <f>IFERROR(__xludf.DUMMYFUNCTION("IF(I22&gt;0, ($L22+$M22) * I22 * ($K22 + IF(AND(REGEXMATCH($C22, $B22), REGEXMATCH($C22,Sword_Bonuses[[#HEADERS],[Vo]])), Sword_Bonuses[Vo],) ) / $K22, 0)"),0.0)</f>
        <v>0</v>
      </c>
      <c r="Q22" s="68">
        <f>$K22 *E22 / Sword_Bonuses[Mag/Dmg]</f>
        <v>6.431666667</v>
      </c>
      <c r="R22" s="44">
        <f>IFERROR(__xludf.DUMMYFUNCTION("IF(G22&gt;0, ($L22+$Q22) * G22 * ($K22 + IF(AND(REGEXMATCH($C22, $B22), REGEXMATCH($C22,Sword_Bonuses[[#HEADERS],[Py]])), Sword_Bonuses[Py],) ) / $K22, 0)"),0.0)</f>
        <v>0</v>
      </c>
      <c r="S22" s="44">
        <f>IFERROR(__xludf.DUMMYFUNCTION("IF(H22&gt;0, ($L22+$Q22) * H22 * ($K22 + IF(AND(REGEXMATCH($C22, $B22), REGEXMATCH($C22,Sword_Bonuses[[#HEADERS],[He]])), Sword_Bonuses[He],) ) / $K22, 0)"),0.0)</f>
        <v>0</v>
      </c>
      <c r="T22" s="44">
        <f>IFERROR(__xludf.DUMMYFUNCTION("IF(I22&gt;0, ($L22+$Q22) * I22 * ($K22 + IF(AND(REGEXMATCH($C22, $B22), REGEXMATCH($C22,Sword_Bonuses[[#HEADERS],[Vo]])), Sword_Bonuses[Vo],) ) / $K22, 0)"),0.0)</f>
        <v>0</v>
      </c>
      <c r="U22" s="64">
        <f t="shared" si="2"/>
        <v>219.64</v>
      </c>
      <c r="V22" s="55">
        <v>219.0</v>
      </c>
      <c r="W22" s="69">
        <f t="shared" si="3"/>
        <v>0.002922374429</v>
      </c>
      <c r="X22" s="93">
        <f>IFERROR(__xludf.DUMMYFUNCTION("Sword_Bonuses[Special
Mult] * ((L22 + Q22) * (K22 + IF(REGEXMATCH(C22, B22), If(REGEXMATCH(C22, Sword_Bonuses[[#HEADERS],[Py]]), Sword_Bonuses[Py], 0) + If(REGEXMATCH(C22, Sword_Bonuses[[#HEADERS],[He]]), Sword_Bonuses[He], 0) + If(REGEXMATCH(C22, Sword_B"&amp;"onuses[[#HEADERS],[Vo]]), Sword_Bonuses[Vo], 0), 0)) / K22 + SUM(R22:T22))"),200.23166666666665)</f>
        <v>200.2316667</v>
      </c>
      <c r="Y22" s="55">
        <v>200.0</v>
      </c>
      <c r="Z22" s="72">
        <f t="shared" si="4"/>
        <v>0.001158333333</v>
      </c>
    </row>
    <row r="23" ht="22.5" customHeight="1">
      <c r="A23" s="190" t="s">
        <v>108</v>
      </c>
      <c r="B23" s="191" t="s">
        <v>23</v>
      </c>
      <c r="C23" s="191" t="s">
        <v>104</v>
      </c>
      <c r="D23" s="193">
        <v>314.0</v>
      </c>
      <c r="E23" s="149">
        <v>651.0</v>
      </c>
      <c r="F23" s="194">
        <v>42.0</v>
      </c>
      <c r="G23" s="138">
        <v>0.0</v>
      </c>
      <c r="H23" s="138">
        <v>0.0</v>
      </c>
      <c r="I23" s="138">
        <v>0.0</v>
      </c>
      <c r="J23" s="196">
        <v>0.0</v>
      </c>
      <c r="K23" s="200">
        <f>IFERROR(__xludf.DUMMYFUNCTION("1 + J23 + IF(REGEXMATCH(C23, Sword_Bonuses[[#HEADERS],[Mi]]), Sword_Bonuses[Mi])  + IF(REGEXMATCH(C23, Sword_Bonuses[[#HEADERS],[Re]]), Sword_Bonuses[Re], 0) + IF(REGEXMATCH(C23, Sword_Bonuses[[#HEADERS],[Tr1]]), Sword_Bonuses[Tr1], 0) + IF(REGEXMATCH(C23"&amp;", Sword_Bonuses[[#HEADERS],[Tr2]]), Sword_Bonuses[Tr2], 0)"),1.4)</f>
        <v>1.4</v>
      </c>
      <c r="L23" s="158">
        <f t="shared" si="1"/>
        <v>58.8</v>
      </c>
      <c r="M23" s="160">
        <f>$K23 *D23 / Sword_Bonuses[Stam/Dmg]</f>
        <v>8.792</v>
      </c>
      <c r="N23" s="158">
        <f>IFERROR(__xludf.DUMMYFUNCTION("IF(G23&gt;0, ($L23+$M23) * G23 * ($K23 + IF(AND(REGEXMATCH($C23, $B23), REGEXMATCH($C23,Sword_Bonuses[[#HEADERS],[Py]])), Sword_Bonuses[Py],) ) / $K23, 0)"),0.0)</f>
        <v>0</v>
      </c>
      <c r="O23" s="158">
        <f>IFERROR(__xludf.DUMMYFUNCTION("IF(H23&gt;0, ($L23+$M23) * H23 * ($K23 + IF(AND(REGEXMATCH($C23, $B23), REGEXMATCH($C23,Sword_Bonuses[[#HEADERS],[He]])), Sword_Bonuses[He],) ) / $K23, 0)"),0.0)</f>
        <v>0</v>
      </c>
      <c r="P23" s="158">
        <f>IFERROR(__xludf.DUMMYFUNCTION("IF(I23&gt;0, ($L23+$M23) * I23 * ($K23 + IF(AND(REGEXMATCH($C23, $B23), REGEXMATCH($C23,Sword_Bonuses[[#HEADERS],[Vo]])), Sword_Bonuses[Vo],) ) / $K23, 0)"),0.0)</f>
        <v>0</v>
      </c>
      <c r="Q23" s="160">
        <f>$K23 *E23 / Sword_Bonuses[Mag/Dmg]</f>
        <v>15.19</v>
      </c>
      <c r="R23" s="158">
        <f>IFERROR(__xludf.DUMMYFUNCTION("IF(G23&gt;0, ($L23+$Q23) * G23 * ($K23 + IF(AND(REGEXMATCH($C23, $B23), REGEXMATCH($C23,Sword_Bonuses[[#HEADERS],[Py]])), Sword_Bonuses[Py],) ) / $K23, 0)"),0.0)</f>
        <v>0</v>
      </c>
      <c r="S23" s="158">
        <f>IFERROR(__xludf.DUMMYFUNCTION("IF(H23&gt;0, ($L23+$Q23) * H23 * ($K23 + IF(AND(REGEXMATCH($C23, $B23), REGEXMATCH($C23,Sword_Bonuses[[#HEADERS],[He]])), Sword_Bonuses[He],) ) / $K23, 0)"),0.0)</f>
        <v>0</v>
      </c>
      <c r="T23" s="158">
        <f>IFERROR(__xludf.DUMMYFUNCTION("IF(I23&gt;0, ($L23+$Q23) * I23 * ($K23 + IF(AND(REGEXMATCH($C23, $B23), REGEXMATCH($C23,Sword_Bonuses[[#HEADERS],[Vo]])), Sword_Bonuses[Vo],) ) / $K23, 0)"),0.0)</f>
        <v>0</v>
      </c>
      <c r="U23" s="162">
        <f t="shared" si="2"/>
        <v>67.592</v>
      </c>
      <c r="V23" s="149">
        <v>68.0</v>
      </c>
      <c r="W23" s="163">
        <f t="shared" si="3"/>
        <v>0.006</v>
      </c>
      <c r="X23" s="205">
        <f>IFERROR(__xludf.DUMMYFUNCTION("Sword_Bonuses[Special
Mult] * ((L23 + Q23) * (K23 + IF(REGEXMATCH(C23, B23), If(REGEXMATCH(C23, Sword_Bonuses[[#HEADERS],[Py]]), Sword_Bonuses[Py], 0) + If(REGEXMATCH(C23, Sword_Bonuses[[#HEADERS],[He]]), Sword_Bonuses[He], 0) + If(REGEXMATCH(C23, Sword_B"&amp;"onuses[[#HEADERS],[Vo]]), Sword_Bonuses[Vo], 0), 0)) / K23 + SUM(R23:T23))"),73.99)</f>
        <v>73.99</v>
      </c>
      <c r="Y23" s="149">
        <v>73.0</v>
      </c>
      <c r="Z23" s="166">
        <f t="shared" si="4"/>
        <v>0.01356164384</v>
      </c>
    </row>
    <row r="24" ht="22.5" customHeight="1">
      <c r="A24" s="167" t="s">
        <v>105</v>
      </c>
      <c r="B24" s="206" t="s">
        <v>23</v>
      </c>
      <c r="C24" s="206" t="s">
        <v>107</v>
      </c>
      <c r="D24" s="170">
        <f>IFERROR(__xludf.DUMMYFUNCTION("200 + Scaling!$D$6 + Scaling!$C$15 + (INDEX(SPLIT($A24, "".""),3) + VLOOKUP(INDEX(SPLIT($A24, "".""),2), Rarity_Bonus_Levels_[[Identifier]:[Bonus Lvls]], 2) - 1) * (Scaling!$D$7 + Scaling!$C$16)"),529.2)</f>
        <v>529.2</v>
      </c>
      <c r="E24" s="171">
        <f t="shared" ref="E24:E35" si="5">200</f>
        <v>200</v>
      </c>
      <c r="F24" s="172">
        <f>IFERROR(__xludf.DUMMYFUNCTION("Scaling!$D$4 + (INDEX(SPLIT($A24, "".""),3) + VLOOKUP(INDEX(SPLIT($A24, "".""),2), Rarity_Bonus_Levels_[[Identifier]:[Bonus Lvls]], 2) - 1) * (Scaling!$D$5)"),58.0)</f>
        <v>58</v>
      </c>
      <c r="G24" s="214">
        <v>0.08</v>
      </c>
      <c r="H24" s="214">
        <v>0.08</v>
      </c>
      <c r="I24" s="214">
        <v>0.08</v>
      </c>
      <c r="J24" s="221">
        <v>0.3</v>
      </c>
      <c r="K24" s="90">
        <f>IFERROR(__xludf.DUMMYFUNCTION("1 + J24 + IF(REGEXMATCH(C24, Sword_Bonuses[[#HEADERS],[Mi]]), Sword_Bonuses[Mi])  + IF(REGEXMATCH(C24, Sword_Bonuses[[#HEADERS],[Re]]), Sword_Bonuses[Re], 0) + IF(REGEXMATCH(C24, Sword_Bonuses[[#HEADERS],[Tr1]]), Sword_Bonuses[Tr1], 0) + IF(REGEXMATCH(C24"&amp;", Sword_Bonuses[[#HEADERS],[Tr2]]), Sword_Bonuses[Tr2], 0)"),1.8)</f>
        <v>1.8</v>
      </c>
      <c r="L24" s="44">
        <f t="shared" si="1"/>
        <v>104.4</v>
      </c>
      <c r="M24" s="68">
        <f>$K24 * D24 / Sword_Bonuses[Stam/Dmg]</f>
        <v>19.0512</v>
      </c>
      <c r="N24" s="44">
        <f>IFERROR(__xludf.DUMMYFUNCTION("IF(G24&gt;0, ($L24+$M24) * G24 * ($K24 + IF(AND(REGEXMATCH($C24, $B24), REGEXMATCH($C24,Sword_Bonuses[[#HEADERS],[Py]])), Sword_Bonuses[Py],) ) / $K24, 0)"),9.876096000000002)</f>
        <v>9.876096</v>
      </c>
      <c r="O24" s="44">
        <f>IFERROR(__xludf.DUMMYFUNCTION("IF(H24&gt;0, ($L24+$M24) * H24 * ($K24 + IF(AND(REGEXMATCH($C24, $B24), REGEXMATCH($C24,Sword_Bonuses[[#HEADERS],[He]])), Sword_Bonuses[He],) ) / $K24, 0)"),10.97344)</f>
        <v>10.97344</v>
      </c>
      <c r="P24" s="44">
        <f>IFERROR(__xludf.DUMMYFUNCTION("IF(I24&gt;0, ($L24+$M24) * I24 * ($K24 + IF(AND(REGEXMATCH($C24, $B24), REGEXMATCH($C24,Sword_Bonuses[[#HEADERS],[Vo]])), Sword_Bonuses[Vo],) ) / $K24, 0)"),9.876096000000002)</f>
        <v>9.876096</v>
      </c>
      <c r="Q24" s="68">
        <f>$K24 *E24 / Sword_Bonuses[Mag/Dmg]</f>
        <v>6</v>
      </c>
      <c r="R24" s="44">
        <f>IFERROR(__xludf.DUMMYFUNCTION("IF(G24&gt;0, ($L24+$Q24) * G24 * ($K24 + IF(AND(REGEXMATCH($C24, $B24), REGEXMATCH($C24,Sword_Bonuses[[#HEADERS],[Py]])), Sword_Bonuses[Py],) ) / $K24, 0)"),8.832)</f>
        <v>8.832</v>
      </c>
      <c r="S24" s="44">
        <f>IFERROR(__xludf.DUMMYFUNCTION("IF(H24&gt;0, ($L24+$Q24) * H24 * ($K24 + IF(AND(REGEXMATCH($C24, $B24), REGEXMATCH($C24,Sword_Bonuses[[#HEADERS],[He]])), Sword_Bonuses[He],) ) / $K24, 0)"),9.813333333333334)</f>
        <v>9.813333333</v>
      </c>
      <c r="T24" s="44">
        <f>IFERROR(__xludf.DUMMYFUNCTION("IF(I24&gt;0, ($L24+$Q24) * I24 * ($K24 + IF(AND(REGEXMATCH($C24, $B24), REGEXMATCH($C24,Sword_Bonuses[[#HEADERS],[Vo]])), Sword_Bonuses[Vo],) ) / $K24, 0)"),8.832)</f>
        <v>8.832</v>
      </c>
      <c r="U24" s="64">
        <f t="shared" si="2"/>
        <v>154.176832</v>
      </c>
      <c r="V24" s="65"/>
      <c r="W24" s="69" t="str">
        <f t="shared" si="3"/>
        <v/>
      </c>
      <c r="X24" s="93">
        <f>IFERROR(__xludf.DUMMYFUNCTION("Sword_Bonuses[Special
Mult] * ((L24 + Q24) * (K24 + IF(REGEXMATCH(C24, B24), If(REGEXMATCH(C24, Sword_Bonuses[[#HEADERS],[Py]]), Sword_Bonuses[Py], 0) + If(REGEXMATCH(C24, Sword_Bonuses[[#HEADERS],[He]]), Sword_Bonuses[He], 0) + If(REGEXMATCH(C24, Sword_B"&amp;"onuses[[#HEADERS],[Vo]]), Sword_Bonuses[Vo], 0), 0)) / K24 + SUM(R24:T24))"),150.144)</f>
        <v>150.144</v>
      </c>
      <c r="Y24" s="93"/>
      <c r="Z24" s="72" t="str">
        <f t="shared" si="4"/>
        <v/>
      </c>
    </row>
    <row r="25" ht="22.5" customHeight="1">
      <c r="A25" s="167" t="s">
        <v>105</v>
      </c>
      <c r="B25" s="185" t="s">
        <v>23</v>
      </c>
      <c r="C25" s="101" t="s">
        <v>107</v>
      </c>
      <c r="D25" s="170">
        <f>IFERROR(__xludf.DUMMYFUNCTION("200 + Scaling!$D$6 + Scaling!$C$15 + (INDEX(SPLIT($A25, "".""),3) + VLOOKUP(INDEX(SPLIT($A25, "".""),2), Rarity_Bonus_Levels_[[Identifier]:[Bonus Lvls]], 2) - 1) * (Scaling!$D$7 + Scaling!$C$16)"),529.2)</f>
        <v>529.2</v>
      </c>
      <c r="E25" s="171">
        <f t="shared" si="5"/>
        <v>200</v>
      </c>
      <c r="F25" s="172">
        <f>IFERROR(__xludf.DUMMYFUNCTION("Scaling!$D$4 + (INDEX(SPLIT($A25, "".""),3) + VLOOKUP(INDEX(SPLIT($A25, "".""),2), Rarity_Bonus_Levels_[[Identifier]:[Bonus Lvls]], 2) - 1) * (Scaling!$D$5)"),58.0)</f>
        <v>58</v>
      </c>
      <c r="G25" s="187"/>
      <c r="H25" s="188">
        <v>0.2</v>
      </c>
      <c r="I25" s="189"/>
      <c r="J25" s="244">
        <v>0.3</v>
      </c>
      <c r="K25" s="90">
        <f>IFERROR(__xludf.DUMMYFUNCTION("1 + J25 + IF(REGEXMATCH(C25, Sword_Bonuses[[#HEADERS],[Mi]]), Sword_Bonuses[Mi])  + IF(REGEXMATCH(C25, Sword_Bonuses[[#HEADERS],[Re]]), Sword_Bonuses[Re], 0) + IF(REGEXMATCH(C25, Sword_Bonuses[[#HEADERS],[Tr1]]), Sword_Bonuses[Tr1], 0) + IF(REGEXMATCH(C25"&amp;", Sword_Bonuses[[#HEADERS],[Tr2]]), Sword_Bonuses[Tr2], 0)"),1.8)</f>
        <v>1.8</v>
      </c>
      <c r="L25" s="44">
        <f t="shared" si="1"/>
        <v>104.4</v>
      </c>
      <c r="M25" s="68">
        <f>$K25 * D25 / Sword_Bonuses[Stam/Dmg]</f>
        <v>19.0512</v>
      </c>
      <c r="N25" s="44">
        <f>IFERROR(__xludf.DUMMYFUNCTION("IF(G25&gt;0, ($L25+$M25) * G25 * ($K25 + IF(AND(REGEXMATCH($C25, $B25), REGEXMATCH($C25,Sword_Bonuses[[#HEADERS],[Py]])), Sword_Bonuses[Py],) ) / $K25, 0)"),0.0)</f>
        <v>0</v>
      </c>
      <c r="O25" s="44">
        <f>IFERROR(__xludf.DUMMYFUNCTION("IF(H25&gt;0, ($L25+$M25) * H25 * ($K25 + IF(AND(REGEXMATCH($C25, $B25), REGEXMATCH($C25,Sword_Bonuses[[#HEADERS],[He]])), Sword_Bonuses[He],) ) / $K25, 0)"),27.433600000000002)</f>
        <v>27.4336</v>
      </c>
      <c r="P25" s="44">
        <f>IFERROR(__xludf.DUMMYFUNCTION("IF(I25&gt;0, ($L25+$M25) * I25 * ($K25 + IF(AND(REGEXMATCH($C25, $B25), REGEXMATCH($C25,Sword_Bonuses[[#HEADERS],[Vo]])), Sword_Bonuses[Vo],) ) / $K25, 0)"),0.0)</f>
        <v>0</v>
      </c>
      <c r="Q25" s="68">
        <f>$K25 *E25 / Sword_Bonuses[Mag/Dmg]</f>
        <v>6</v>
      </c>
      <c r="R25" s="44">
        <f>IFERROR(__xludf.DUMMYFUNCTION("IF(G25&gt;0, ($L25+$Q25) * G25 * ($K25 + IF(AND(REGEXMATCH($C25, $B25), REGEXMATCH($C25,Sword_Bonuses[[#HEADERS],[Py]])), Sword_Bonuses[Py],) ) / $K25, 0)"),0.0)</f>
        <v>0</v>
      </c>
      <c r="S25" s="44">
        <f>IFERROR(__xludf.DUMMYFUNCTION("IF(H25&gt;0, ($L25+$Q25) * H25 * ($K25 + IF(AND(REGEXMATCH($C25, $B25), REGEXMATCH($C25,Sword_Bonuses[[#HEADERS],[He]])), Sword_Bonuses[He],) ) / $K25, 0)"),24.533333333333335)</f>
        <v>24.53333333</v>
      </c>
      <c r="T25" s="44">
        <f>IFERROR(__xludf.DUMMYFUNCTION("IF(I25&gt;0, ($L25+$Q25) * I25 * ($K25 + IF(AND(REGEXMATCH($C25, $B25), REGEXMATCH($C25,Sword_Bonuses[[#HEADERS],[Vo]])), Sword_Bonuses[Vo],) ) / $K25, 0)"),0.0)</f>
        <v>0</v>
      </c>
      <c r="U25" s="64">
        <f t="shared" si="2"/>
        <v>150.8848</v>
      </c>
      <c r="V25" s="65"/>
      <c r="W25" s="69" t="str">
        <f t="shared" si="3"/>
        <v/>
      </c>
      <c r="X25" s="93">
        <f>IFERROR(__xludf.DUMMYFUNCTION("Sword_Bonuses[Special
Mult] * ((L25 + Q25) * (K25 + IF(REGEXMATCH(C25, B25), If(REGEXMATCH(C25, Sword_Bonuses[[#HEADERS],[Py]]), Sword_Bonuses[Py], 0) + If(REGEXMATCH(C25, Sword_Bonuses[[#HEADERS],[He]]), Sword_Bonuses[He], 0) + If(REGEXMATCH(C25, Sword_B"&amp;"onuses[[#HEADERS],[Vo]]), Sword_Bonuses[Vo], 0), 0)) / K25 + SUM(R25:T25))"),147.20000000000002)</f>
        <v>147.2</v>
      </c>
      <c r="Y25" s="93"/>
      <c r="Z25" s="72" t="str">
        <f t="shared" si="4"/>
        <v/>
      </c>
    </row>
    <row r="26" ht="22.5" customHeight="1">
      <c r="A26" s="167" t="s">
        <v>105</v>
      </c>
      <c r="B26" s="108" t="s">
        <v>23</v>
      </c>
      <c r="C26" s="108" t="s">
        <v>107</v>
      </c>
      <c r="D26" s="170">
        <f>IFERROR(__xludf.DUMMYFUNCTION("200 + Scaling!$D$6 + Scaling!$C$15 + (INDEX(SPLIT($A26, "".""),3) + VLOOKUP(INDEX(SPLIT($A26, "".""),2), Rarity_Bonus_Levels_[[Identifier]:[Bonus Lvls]], 2) - 1) * (Scaling!$D$7 + Scaling!$C$16)"),529.2)</f>
        <v>529.2</v>
      </c>
      <c r="E26" s="171">
        <f t="shared" si="5"/>
        <v>200</v>
      </c>
      <c r="F26" s="172">
        <f>IFERROR(__xludf.DUMMYFUNCTION("Scaling!$D$4 + (INDEX(SPLIT($A26, "".""),3) + VLOOKUP(INDEX(SPLIT($A26, "".""),2), Rarity_Bonus_Levels_[[Identifier]:[Bonus Lvls]], 2) - 1) * (Scaling!$D$5)"),58.0)</f>
        <v>58</v>
      </c>
      <c r="G26" s="203"/>
      <c r="H26" s="187"/>
      <c r="I26" s="203">
        <v>0.2</v>
      </c>
      <c r="J26" s="256">
        <v>0.3</v>
      </c>
      <c r="K26" s="90">
        <f>IFERROR(__xludf.DUMMYFUNCTION("1 + J26 + IF(REGEXMATCH(C26, Sword_Bonuses[[#HEADERS],[Mi]]), Sword_Bonuses[Mi])  + IF(REGEXMATCH(C26, Sword_Bonuses[[#HEADERS],[Re]]), Sword_Bonuses[Re], 0) + IF(REGEXMATCH(C26, Sword_Bonuses[[#HEADERS],[Tr1]]), Sword_Bonuses[Tr1], 0) + IF(REGEXMATCH(C26"&amp;", Sword_Bonuses[[#HEADERS],[Tr2]]), Sword_Bonuses[Tr2], 0)"),1.8)</f>
        <v>1.8</v>
      </c>
      <c r="L26" s="44">
        <f t="shared" si="1"/>
        <v>104.4</v>
      </c>
      <c r="M26" s="68">
        <f>$K26 * D26 / Sword_Bonuses[Stam/Dmg]</f>
        <v>19.0512</v>
      </c>
      <c r="N26" s="44">
        <f>IFERROR(__xludf.DUMMYFUNCTION("IF(G26&gt;0, ($L26+$M26) * G26 * ($K26 + IF(AND(REGEXMATCH($C26, $B26), REGEXMATCH($C26,Sword_Bonuses[[#HEADERS],[Py]])), Sword_Bonuses[Py],) ) / $K26, 0)"),0.0)</f>
        <v>0</v>
      </c>
      <c r="O26" s="44">
        <f>IFERROR(__xludf.DUMMYFUNCTION("IF(H26&gt;0, ($L26+$M26) * H26 * ($K26 + IF(AND(REGEXMATCH($C26, $B26), REGEXMATCH($C26,Sword_Bonuses[[#HEADERS],[He]])), Sword_Bonuses[He],) ) / $K26, 0)"),0.0)</f>
        <v>0</v>
      </c>
      <c r="P26" s="44">
        <f>IFERROR(__xludf.DUMMYFUNCTION("IF(I26&gt;0, ($L26+$M26) * I26 * ($K26 + IF(AND(REGEXMATCH($C26, $B26), REGEXMATCH($C26,Sword_Bonuses[[#HEADERS],[Vo]])), Sword_Bonuses[Vo],) ) / $K26, 0)"),24.690240000000003)</f>
        <v>24.69024</v>
      </c>
      <c r="Q26" s="68">
        <f>$K26 *E26 / Sword_Bonuses[Mag/Dmg]</f>
        <v>6</v>
      </c>
      <c r="R26" s="44">
        <f>IFERROR(__xludf.DUMMYFUNCTION("IF(G26&gt;0, ($L26+$Q26) * G26 * ($K26 + IF(AND(REGEXMATCH($C26, $B26), REGEXMATCH($C26,Sword_Bonuses[[#HEADERS],[Py]])), Sword_Bonuses[Py],) ) / $K26, 0)"),0.0)</f>
        <v>0</v>
      </c>
      <c r="S26" s="44">
        <f>IFERROR(__xludf.DUMMYFUNCTION("IF(H26&gt;0, ($L26+$Q26) * H26 * ($K26 + IF(AND(REGEXMATCH($C26, $B26), REGEXMATCH($C26,Sword_Bonuses[[#HEADERS],[He]])), Sword_Bonuses[He],) ) / $K26, 0)"),0.0)</f>
        <v>0</v>
      </c>
      <c r="T26" s="44">
        <f>IFERROR(__xludf.DUMMYFUNCTION("IF(I26&gt;0, ($L26+$Q26) * I26 * ($K26 + IF(AND(REGEXMATCH($C26, $B26), REGEXMATCH($C26,Sword_Bonuses[[#HEADERS],[Vo]])), Sword_Bonuses[Vo],) ) / $K26, 0)"),22.080000000000002)</f>
        <v>22.08</v>
      </c>
      <c r="U26" s="64">
        <f t="shared" si="2"/>
        <v>148.14144</v>
      </c>
      <c r="V26" s="65"/>
      <c r="W26" s="69" t="str">
        <f t="shared" si="3"/>
        <v/>
      </c>
      <c r="X26" s="93">
        <f>IFERROR(__xludf.DUMMYFUNCTION("Sword_Bonuses[Special
Mult] * ((L26 + Q26) * (K26 + IF(REGEXMATCH(C26, B26), If(REGEXMATCH(C26, Sword_Bonuses[[#HEADERS],[Py]]), Sword_Bonuses[Py], 0) + If(REGEXMATCH(C26, Sword_Bonuses[[#HEADERS],[He]]), Sword_Bonuses[He], 0) + If(REGEXMATCH(C26, Sword_B"&amp;"onuses[[#HEADERS],[Vo]]), Sword_Bonuses[Vo], 0), 0)) / K26 + SUM(R26:T26))"),144.74666666666667)</f>
        <v>144.7466667</v>
      </c>
      <c r="Y26" s="93"/>
      <c r="Z26" s="72" t="str">
        <f t="shared" si="4"/>
        <v/>
      </c>
    </row>
    <row r="27" ht="22.5" customHeight="1">
      <c r="A27" s="167" t="s">
        <v>105</v>
      </c>
      <c r="B27" s="218" t="s">
        <v>23</v>
      </c>
      <c r="C27" s="211" t="s">
        <v>107</v>
      </c>
      <c r="D27" s="170">
        <f>IFERROR(__xludf.DUMMYFUNCTION("200 + Scaling!$D$6 + Scaling!$C$15 + (INDEX(SPLIT($A27, "".""),3) + VLOOKUP(INDEX(SPLIT($A27, "".""),2), Rarity_Bonus_Levels_[[Identifier]:[Bonus Lvls]], 2) - 1) * (Scaling!$D$7 + Scaling!$C$16)"),529.2)</f>
        <v>529.2</v>
      </c>
      <c r="E27" s="171">
        <f t="shared" si="5"/>
        <v>200</v>
      </c>
      <c r="F27" s="172">
        <f>IFERROR(__xludf.DUMMYFUNCTION("Scaling!$D$4 + (INDEX(SPLIT($A27, "".""),3) + VLOOKUP(INDEX(SPLIT($A27, "".""),2), Rarity_Bonus_Levels_[[Identifier]:[Bonus Lvls]], 2) - 1) * (Scaling!$D$5)"),58.0)</f>
        <v>58</v>
      </c>
      <c r="G27" s="228"/>
      <c r="H27" s="228"/>
      <c r="I27" s="228"/>
      <c r="J27" s="264">
        <v>0.3</v>
      </c>
      <c r="K27" s="90">
        <f>IFERROR(__xludf.DUMMYFUNCTION("1 + J27 + IF(REGEXMATCH(C27, Sword_Bonuses[[#HEADERS],[Mi]]), Sword_Bonuses[Mi])  + IF(REGEXMATCH(C27, Sword_Bonuses[[#HEADERS],[Re]]), Sword_Bonuses[Re], 0) + IF(REGEXMATCH(C27, Sword_Bonuses[[#HEADERS],[Tr1]]), Sword_Bonuses[Tr1], 0) + IF(REGEXMATCH(C27"&amp;", Sword_Bonuses[[#HEADERS],[Tr2]]), Sword_Bonuses[Tr2], 0)"),1.8)</f>
        <v>1.8</v>
      </c>
      <c r="L27" s="44">
        <f t="shared" si="1"/>
        <v>104.4</v>
      </c>
      <c r="M27" s="160">
        <f>$K27 * D27 / Sword_Bonuses[Stam/Dmg]</f>
        <v>19.0512</v>
      </c>
      <c r="N27" s="158">
        <f>IFERROR(__xludf.DUMMYFUNCTION("IF(G27&gt;0, ($L27+$M27) * G27 * ($K27 + IF(AND(REGEXMATCH($C27, $B27), REGEXMATCH($C27,Sword_Bonuses[[#HEADERS],[Py]])), Sword_Bonuses[Py],) ) / $K27, 0)"),0.0)</f>
        <v>0</v>
      </c>
      <c r="O27" s="158">
        <f>IFERROR(__xludf.DUMMYFUNCTION("IF(H27&gt;0, ($L27+$M27) * H27 * ($K27 + IF(AND(REGEXMATCH($C27, $B27), REGEXMATCH($C27,Sword_Bonuses[[#HEADERS],[He]])), Sword_Bonuses[He],) ) / $K27, 0)"),0.0)</f>
        <v>0</v>
      </c>
      <c r="P27" s="158">
        <f>IFERROR(__xludf.DUMMYFUNCTION("IF(I27&gt;0, ($L27+$M27) * I27 * ($K27 + IF(AND(REGEXMATCH($C27, $B27), REGEXMATCH($C27,Sword_Bonuses[[#HEADERS],[Vo]])), Sword_Bonuses[Vo],) ) / $K27, 0)"),0.0)</f>
        <v>0</v>
      </c>
      <c r="Q27" s="160">
        <f>$K27 *E27 / Sword_Bonuses[Mag/Dmg]</f>
        <v>6</v>
      </c>
      <c r="R27" s="158">
        <f>IFERROR(__xludf.DUMMYFUNCTION("IF(G27&gt;0, ($L27+$Q27) * G27 * ($K27 + IF(AND(REGEXMATCH($C27, $B27), REGEXMATCH($C27,Sword_Bonuses[[#HEADERS],[Py]])), Sword_Bonuses[Py],) ) / $K27, 0)"),0.0)</f>
        <v>0</v>
      </c>
      <c r="S27" s="158">
        <f>IFERROR(__xludf.DUMMYFUNCTION("IF(H27&gt;0, ($L27+$Q27) * H27 * ($K27 + IF(AND(REGEXMATCH($C27, $B27), REGEXMATCH($C27,Sword_Bonuses[[#HEADERS],[He]])), Sword_Bonuses[He],) ) / $K27, 0)"),0.0)</f>
        <v>0</v>
      </c>
      <c r="T27" s="158">
        <f>IFERROR(__xludf.DUMMYFUNCTION("IF(I27&gt;0, ($L27+$Q27) * I27 * ($K27 + IF(AND(REGEXMATCH($C27, $B27), REGEXMATCH($C27,Sword_Bonuses[[#HEADERS],[Vo]])), Sword_Bonuses[Vo],) ) / $K27, 0)"),0.0)</f>
        <v>0</v>
      </c>
      <c r="U27" s="162">
        <f t="shared" si="2"/>
        <v>123.4512</v>
      </c>
      <c r="V27" s="65"/>
      <c r="W27" s="69" t="str">
        <f t="shared" si="3"/>
        <v/>
      </c>
      <c r="X27" s="93">
        <f>IFERROR(__xludf.DUMMYFUNCTION("Sword_Bonuses[Special
Mult] * ((L27 + Q27) * (K27 + IF(REGEXMATCH(C27, B27), If(REGEXMATCH(C27, Sword_Bonuses[[#HEADERS],[Py]]), Sword_Bonuses[Py], 0) + If(REGEXMATCH(C27, Sword_Bonuses[[#HEADERS],[He]]), Sword_Bonuses[He], 0) + If(REGEXMATCH(C27, Sword_B"&amp;"onuses[[#HEADERS],[Vo]]), Sword_Bonuses[Vo], 0), 0)) / K27 + SUM(R27:T27))"),122.66666666666667)</f>
        <v>122.6666667</v>
      </c>
      <c r="Y27" s="93"/>
      <c r="Z27" s="72" t="str">
        <f t="shared" si="4"/>
        <v/>
      </c>
    </row>
    <row r="28" ht="22.5" customHeight="1">
      <c r="A28" s="266" t="s">
        <v>79</v>
      </c>
      <c r="B28" s="206" t="s">
        <v>23</v>
      </c>
      <c r="C28" s="206" t="s">
        <v>107</v>
      </c>
      <c r="D28" s="267">
        <f>IFERROR(__xludf.DUMMYFUNCTION("200 + Scaling!$D$6 + Scaling!$C$15 + (INDEX(SPLIT($A28, "".""),3) + VLOOKUP(INDEX(SPLIT($A28, "".""),2), Rarity_Bonus_Levels_[[Identifier]:[Bonus Lvls]], 2) - 1) * (Scaling!$D$7 + Scaling!$C$16)"),956.4000000000001)</f>
        <v>956.4</v>
      </c>
      <c r="E28" s="267">
        <f t="shared" si="5"/>
        <v>200</v>
      </c>
      <c r="F28" s="269">
        <f>IFERROR(__xludf.DUMMYFUNCTION("Scaling!$D$4 + (INDEX(SPLIT($A28, "".""),3) + VLOOKUP(INDEX(SPLIT($A28, "".""),2), Rarity_Bonus_Levels_[[Identifier]:[Bonus Lvls]], 2) - 1) * (Scaling!$D$5)"),154.0)</f>
        <v>154</v>
      </c>
      <c r="G28" s="214">
        <v>0.08</v>
      </c>
      <c r="H28" s="214">
        <v>0.08</v>
      </c>
      <c r="I28" s="214">
        <v>0.08</v>
      </c>
      <c r="J28" s="221">
        <v>0.3</v>
      </c>
      <c r="K28" s="250">
        <f>IFERROR(__xludf.DUMMYFUNCTION("1 + J28 + IF(REGEXMATCH(C28, Sword_Bonuses[[#HEADERS],[Mi]]), Sword_Bonuses[Mi])  + IF(REGEXMATCH(C28, Sword_Bonuses[[#HEADERS],[Re]]), Sword_Bonuses[Re], 0) + IF(REGEXMATCH(C28, Sword_Bonuses[[#HEADERS],[Tr1]]), Sword_Bonuses[Tr1], 0) + IF(REGEXMATCH(C28"&amp;", Sword_Bonuses[[#HEADERS],[Tr2]]), Sword_Bonuses[Tr2], 0)"),1.8)</f>
        <v>1.8</v>
      </c>
      <c r="L28" s="251">
        <f t="shared" si="1"/>
        <v>277.2</v>
      </c>
      <c r="M28" s="252">
        <f>$K28 * D28 / Sword_Bonuses[Stam/Dmg]</f>
        <v>34.4304</v>
      </c>
      <c r="N28" s="44">
        <f>IFERROR(__xludf.DUMMYFUNCTION("IF(G28&gt;0, ($L28+$M28) * G28 * ($K28 + IF(AND(REGEXMATCH($C28, $B28), REGEXMATCH($C28,Sword_Bonuses[[#HEADERS],[Py]])), Sword_Bonuses[Py],) ) / $K28, 0)"),24.930432)</f>
        <v>24.930432</v>
      </c>
      <c r="O28" s="44">
        <f>IFERROR(__xludf.DUMMYFUNCTION("IF(H28&gt;0, ($L28+$M28) * H28 * ($K28 + IF(AND(REGEXMATCH($C28, $B28), REGEXMATCH($C28,Sword_Bonuses[[#HEADERS],[He]])), Sword_Bonuses[He],) ) / $K28, 0)"),27.70048)</f>
        <v>27.70048</v>
      </c>
      <c r="P28" s="44">
        <f>IFERROR(__xludf.DUMMYFUNCTION("IF(I28&gt;0, ($L28+$M28) * I28 * ($K28 + IF(AND(REGEXMATCH($C28, $B28), REGEXMATCH($C28,Sword_Bonuses[[#HEADERS],[Vo]])), Sword_Bonuses[Vo],) ) / $K28, 0)"),24.930432)</f>
        <v>24.930432</v>
      </c>
      <c r="Q28" s="68">
        <f>$K28 *E28 / Sword_Bonuses[Mag/Dmg]</f>
        <v>6</v>
      </c>
      <c r="R28" s="251">
        <f>IFERROR(__xludf.DUMMYFUNCTION("IF(G28&gt;0, ($L28+$Q28) * G28 * ($K28 + IF(AND(REGEXMATCH($C28, $B28), REGEXMATCH($C28,Sword_Bonuses[[#HEADERS],[Py]])), Sword_Bonuses[Py],) ) / $K28, 0)"),22.656)</f>
        <v>22.656</v>
      </c>
      <c r="S28" s="251">
        <f>IFERROR(__xludf.DUMMYFUNCTION("IF(H28&gt;0, ($L28+$Q28) * H28 * ($K28 + IF(AND(REGEXMATCH($C28, $B28), REGEXMATCH($C28,Sword_Bonuses[[#HEADERS],[He]])), Sword_Bonuses[He],) ) / $K28, 0)"),25.173333333333332)</f>
        <v>25.17333333</v>
      </c>
      <c r="T28" s="44">
        <f>IFERROR(__xludf.DUMMYFUNCTION("IF(I28&gt;0, ($L28+$Q28) * I28 * ($K28 + IF(AND(REGEXMATCH($C28, $B28), REGEXMATCH($C28,Sword_Bonuses[[#HEADERS],[Vo]])), Sword_Bonuses[Vo],) ) / $K28, 0)"),22.656)</f>
        <v>22.656</v>
      </c>
      <c r="U28" s="64">
        <f t="shared" si="2"/>
        <v>389.191744</v>
      </c>
      <c r="V28" s="254"/>
      <c r="W28" s="255" t="str">
        <f t="shared" si="3"/>
        <v/>
      </c>
      <c r="X28" s="257">
        <f>IFERROR(__xludf.DUMMYFUNCTION("Sword_Bonuses[Special
Mult] * ((L28 + Q28) * (K28 + IF(REGEXMATCH(C28, B28), If(REGEXMATCH(C28, Sword_Bonuses[[#HEADERS],[Py]]), Sword_Bonuses[Py], 0) + If(REGEXMATCH(C28, Sword_Bonuses[[#HEADERS],[He]]), Sword_Bonuses[He], 0) + If(REGEXMATCH(C28, Sword_B"&amp;"onuses[[#HEADERS],[Vo]]), Sword_Bonuses[Vo], 0), 0)) / K28 + SUM(R28:T28))"),385.15199999999993)</f>
        <v>385.152</v>
      </c>
      <c r="Y28" s="257"/>
      <c r="Z28" s="258" t="str">
        <f t="shared" si="4"/>
        <v/>
      </c>
    </row>
    <row r="29" ht="22.5" customHeight="1">
      <c r="A29" s="259" t="s">
        <v>79</v>
      </c>
      <c r="B29" s="185" t="s">
        <v>23</v>
      </c>
      <c r="C29" s="101" t="s">
        <v>107</v>
      </c>
      <c r="D29" s="247">
        <f>IFERROR(__xludf.DUMMYFUNCTION("200 + Scaling!$D$6 + Scaling!$C$15 + (INDEX(SPLIT($A29, "".""),3) + VLOOKUP(INDEX(SPLIT($A29, "".""),2), Rarity_Bonus_Levels_[[Identifier]:[Bonus Lvls]], 2) - 1) * (Scaling!$D$7 + Scaling!$C$16)"),956.4000000000001)</f>
        <v>956.4</v>
      </c>
      <c r="E29" s="260">
        <f t="shared" si="5"/>
        <v>200</v>
      </c>
      <c r="F29" s="248">
        <f>IFERROR(__xludf.DUMMYFUNCTION("Scaling!$D$4 + (INDEX(SPLIT($A29, "".""),3) + VLOOKUP(INDEX(SPLIT($A29, "".""),2), Rarity_Bonus_Levels_[[Identifier]:[Bonus Lvls]], 2) - 1) * (Scaling!$D$5)"),154.0)</f>
        <v>154</v>
      </c>
      <c r="G29" s="187"/>
      <c r="H29" s="188">
        <v>0.2</v>
      </c>
      <c r="I29" s="189"/>
      <c r="J29" s="244">
        <v>0.3</v>
      </c>
      <c r="K29" s="90">
        <f>IFERROR(__xludf.DUMMYFUNCTION("1 + J29 + IF(REGEXMATCH(C29, Sword_Bonuses[[#HEADERS],[Mi]]), Sword_Bonuses[Mi])  + IF(REGEXMATCH(C29, Sword_Bonuses[[#HEADERS],[Re]]), Sword_Bonuses[Re], 0) + IF(REGEXMATCH(C29, Sword_Bonuses[[#HEADERS],[Tr1]]), Sword_Bonuses[Tr1], 0) + IF(REGEXMATCH(C29"&amp;", Sword_Bonuses[[#HEADERS],[Tr2]]), Sword_Bonuses[Tr2], 0)"),1.8)</f>
        <v>1.8</v>
      </c>
      <c r="L29" s="44">
        <f t="shared" si="1"/>
        <v>277.2</v>
      </c>
      <c r="M29" s="68">
        <f>$K29 * D29 / Sword_Bonuses[Stam/Dmg]</f>
        <v>34.4304</v>
      </c>
      <c r="N29" s="44">
        <f>IFERROR(__xludf.DUMMYFUNCTION("IF(G29&gt;0, ($L29+$M29) * G29 * ($K29 + IF(AND(REGEXMATCH($C29, $B29), REGEXMATCH($C29,Sword_Bonuses[[#HEADERS],[Py]])), Sword_Bonuses[Py],) ) / $K29, 0)"),0.0)</f>
        <v>0</v>
      </c>
      <c r="O29" s="44">
        <f>IFERROR(__xludf.DUMMYFUNCTION("IF(H29&gt;0, ($L29+$M29) * H29 * ($K29 + IF(AND(REGEXMATCH($C29, $B29), REGEXMATCH($C29,Sword_Bonuses[[#HEADERS],[He]])), Sword_Bonuses[He],) ) / $K29, 0)"),69.2512)</f>
        <v>69.2512</v>
      </c>
      <c r="P29" s="44">
        <f>IFERROR(__xludf.DUMMYFUNCTION("IF(I29&gt;0, ($L29+$M29) * I29 * ($K29 + IF(AND(REGEXMATCH($C29, $B29), REGEXMATCH($C29,Sword_Bonuses[[#HEADERS],[Vo]])), Sword_Bonuses[Vo],) ) / $K29, 0)"),0.0)</f>
        <v>0</v>
      </c>
      <c r="Q29" s="68">
        <f>$K29 *E29 / Sword_Bonuses[Mag/Dmg]</f>
        <v>6</v>
      </c>
      <c r="R29" s="44">
        <f>IFERROR(__xludf.DUMMYFUNCTION("IF(G29&gt;0, ($L29+$Q29) * G29 * ($K29 + IF(AND(REGEXMATCH($C29, $B29), REGEXMATCH($C29,Sword_Bonuses[[#HEADERS],[Py]])), Sword_Bonuses[Py],) ) / $K29, 0)"),0.0)</f>
        <v>0</v>
      </c>
      <c r="S29" s="44">
        <f>IFERROR(__xludf.DUMMYFUNCTION("IF(H29&gt;0, ($L29+$Q29) * H29 * ($K29 + IF(AND(REGEXMATCH($C29, $B29), REGEXMATCH($C29,Sword_Bonuses[[#HEADERS],[He]])), Sword_Bonuses[He],) ) / $K29, 0)"),62.93333333333333)</f>
        <v>62.93333333</v>
      </c>
      <c r="T29" s="44">
        <f>IFERROR(__xludf.DUMMYFUNCTION("IF(I29&gt;0, ($L29+$Q29) * I29 * ($K29 + IF(AND(REGEXMATCH($C29, $B29), REGEXMATCH($C29,Sword_Bonuses[[#HEADERS],[Vo]])), Sword_Bonuses[Vo],) ) / $K29, 0)"),0.0)</f>
        <v>0</v>
      </c>
      <c r="U29" s="64">
        <f t="shared" si="2"/>
        <v>380.8816</v>
      </c>
      <c r="V29" s="65"/>
      <c r="W29" s="69" t="str">
        <f t="shared" si="3"/>
        <v/>
      </c>
      <c r="X29" s="93">
        <f>IFERROR(__xludf.DUMMYFUNCTION("Sword_Bonuses[Special
Mult] * ((L29 + Q29) * (K29 + IF(REGEXMATCH(C29, B29), If(REGEXMATCH(C29, Sword_Bonuses[[#HEADERS],[Py]]), Sword_Bonuses[Py], 0) + If(REGEXMATCH(C29, Sword_Bonuses[[#HEADERS],[He]]), Sword_Bonuses[He], 0) + If(REGEXMATCH(C29, Sword_B"&amp;"onuses[[#HEADERS],[Vo]]), Sword_Bonuses[Vo], 0), 0)) / K29 + SUM(R29:T29))"),377.59999999999997)</f>
        <v>377.6</v>
      </c>
      <c r="Y29" s="93"/>
      <c r="Z29" s="72" t="str">
        <f t="shared" si="4"/>
        <v/>
      </c>
    </row>
    <row r="30" ht="22.5" customHeight="1">
      <c r="A30" s="106" t="s">
        <v>79</v>
      </c>
      <c r="B30" s="108" t="s">
        <v>23</v>
      </c>
      <c r="C30" s="108" t="s">
        <v>107</v>
      </c>
      <c r="D30" s="247">
        <f>IFERROR(__xludf.DUMMYFUNCTION("200 + Scaling!$D$6 + Scaling!$C$15 + (INDEX(SPLIT($A30, "".""),3) + VLOOKUP(INDEX(SPLIT($A30, "".""),2), Rarity_Bonus_Levels_[[Identifier]:[Bonus Lvls]], 2) - 1) * (Scaling!$D$7 + Scaling!$C$16)"),956.4000000000001)</f>
        <v>956.4</v>
      </c>
      <c r="E30" s="260">
        <f t="shared" si="5"/>
        <v>200</v>
      </c>
      <c r="F30" s="248">
        <f>IFERROR(__xludf.DUMMYFUNCTION("Scaling!$D$4 + (INDEX(SPLIT($A30, "".""),3) + VLOOKUP(INDEX(SPLIT($A30, "".""),2), Rarity_Bonus_Levels_[[Identifier]:[Bonus Lvls]], 2) - 1) * (Scaling!$D$5)"),154.0)</f>
        <v>154</v>
      </c>
      <c r="G30" s="203"/>
      <c r="H30" s="187"/>
      <c r="I30" s="203">
        <v>0.2</v>
      </c>
      <c r="J30" s="256">
        <v>0.3</v>
      </c>
      <c r="K30" s="90">
        <f>IFERROR(__xludf.DUMMYFUNCTION("1 + J30 + IF(REGEXMATCH(C30, Sword_Bonuses[[#HEADERS],[Mi]]), Sword_Bonuses[Mi])  + IF(REGEXMATCH(C30, Sword_Bonuses[[#HEADERS],[Re]]), Sword_Bonuses[Re], 0) + IF(REGEXMATCH(C30, Sword_Bonuses[[#HEADERS],[Tr1]]), Sword_Bonuses[Tr1], 0) + IF(REGEXMATCH(C30"&amp;", Sword_Bonuses[[#HEADERS],[Tr2]]), Sword_Bonuses[Tr2], 0)"),1.8)</f>
        <v>1.8</v>
      </c>
      <c r="L30" s="44">
        <f t="shared" si="1"/>
        <v>277.2</v>
      </c>
      <c r="M30" s="68">
        <f>$K30 * D30 / Sword_Bonuses[Stam/Dmg]</f>
        <v>34.4304</v>
      </c>
      <c r="N30" s="44">
        <f>IFERROR(__xludf.DUMMYFUNCTION("IF(G30&gt;0, ($L30+$M30) * G30 * ($K30 + IF(AND(REGEXMATCH($C30, $B30), REGEXMATCH($C30,Sword_Bonuses[[#HEADERS],[Py]])), Sword_Bonuses[Py],) ) / $K30, 0)"),0.0)</f>
        <v>0</v>
      </c>
      <c r="O30" s="44">
        <f>IFERROR(__xludf.DUMMYFUNCTION("IF(H30&gt;0, ($L30+$M30) * H30 * ($K30 + IF(AND(REGEXMATCH($C30, $B30), REGEXMATCH($C30,Sword_Bonuses[[#HEADERS],[He]])), Sword_Bonuses[He],) ) / $K30, 0)"),0.0)</f>
        <v>0</v>
      </c>
      <c r="P30" s="44">
        <f>IFERROR(__xludf.DUMMYFUNCTION("IF(I30&gt;0, ($L30+$M30) * I30 * ($K30 + IF(AND(REGEXMATCH($C30, $B30), REGEXMATCH($C30,Sword_Bonuses[[#HEADERS],[Vo]])), Sword_Bonuses[Vo],) ) / $K30, 0)"),62.326080000000005)</f>
        <v>62.32608</v>
      </c>
      <c r="Q30" s="68">
        <f>$K30 *E30 / Sword_Bonuses[Mag/Dmg]</f>
        <v>6</v>
      </c>
      <c r="R30" s="44">
        <f>IFERROR(__xludf.DUMMYFUNCTION("IF(G30&gt;0, ($L30+$Q30) * G30 * ($K30 + IF(AND(REGEXMATCH($C30, $B30), REGEXMATCH($C30,Sword_Bonuses[[#HEADERS],[Py]])), Sword_Bonuses[Py],) ) / $K30, 0)"),0.0)</f>
        <v>0</v>
      </c>
      <c r="S30" s="44">
        <f>IFERROR(__xludf.DUMMYFUNCTION("IF(H30&gt;0, ($L30+$Q30) * H30 * ($K30 + IF(AND(REGEXMATCH($C30, $B30), REGEXMATCH($C30,Sword_Bonuses[[#HEADERS],[He]])), Sword_Bonuses[He],) ) / $K30, 0)"),0.0)</f>
        <v>0</v>
      </c>
      <c r="T30" s="44">
        <f>IFERROR(__xludf.DUMMYFUNCTION("IF(I30&gt;0, ($L30+$Q30) * I30 * ($K30 + IF(AND(REGEXMATCH($C30, $B30), REGEXMATCH($C30,Sword_Bonuses[[#HEADERS],[Vo]])), Sword_Bonuses[Vo],) ) / $K30, 0)"),56.64)</f>
        <v>56.64</v>
      </c>
      <c r="U30" s="64">
        <f t="shared" si="2"/>
        <v>373.95648</v>
      </c>
      <c r="V30" s="65"/>
      <c r="W30" s="69" t="str">
        <f t="shared" si="3"/>
        <v/>
      </c>
      <c r="X30" s="93">
        <f>IFERROR(__xludf.DUMMYFUNCTION("Sword_Bonuses[Special
Mult] * ((L30 + Q30) * (K30 + IF(REGEXMATCH(C30, B30), If(REGEXMATCH(C30, Sword_Bonuses[[#HEADERS],[Py]]), Sword_Bonuses[Py], 0) + If(REGEXMATCH(C30, Sword_Bonuses[[#HEADERS],[He]]), Sword_Bonuses[He], 0) + If(REGEXMATCH(C30, Sword_B"&amp;"onuses[[#HEADERS],[Vo]]), Sword_Bonuses[Vo], 0), 0)) / K30 + SUM(R30:T30))"),371.3066666666666)</f>
        <v>371.3066667</v>
      </c>
      <c r="Y30" s="93"/>
      <c r="Z30" s="72" t="str">
        <f t="shared" si="4"/>
        <v/>
      </c>
    </row>
    <row r="31" ht="22.5" customHeight="1">
      <c r="A31" s="268" t="s">
        <v>79</v>
      </c>
      <c r="B31" s="218" t="s">
        <v>23</v>
      </c>
      <c r="C31" s="211" t="s">
        <v>107</v>
      </c>
      <c r="D31" s="223">
        <f>IFERROR(__xludf.DUMMYFUNCTION("200 + Scaling!$D$6 + Scaling!$C$15 + (INDEX(SPLIT($A31, "".""),3) + VLOOKUP(INDEX(SPLIT($A31, "".""),2), Rarity_Bonus_Levels_[[Identifier]:[Bonus Lvls]], 2) - 1) * (Scaling!$D$7 + Scaling!$C$16)"),956.4000000000001)</f>
        <v>956.4</v>
      </c>
      <c r="E31" s="270">
        <f t="shared" si="5"/>
        <v>200</v>
      </c>
      <c r="F31" s="226">
        <f>IFERROR(__xludf.DUMMYFUNCTION("Scaling!$D$4 + (INDEX(SPLIT($A31, "".""),3) + VLOOKUP(INDEX(SPLIT($A31, "".""),2), Rarity_Bonus_Levels_[[Identifier]:[Bonus Lvls]], 2) - 1) * (Scaling!$D$5)"),154.0)</f>
        <v>154</v>
      </c>
      <c r="G31" s="228"/>
      <c r="H31" s="228"/>
      <c r="I31" s="228"/>
      <c r="J31" s="264">
        <v>0.3</v>
      </c>
      <c r="K31" s="200">
        <f>IFERROR(__xludf.DUMMYFUNCTION("1 + J31 + IF(REGEXMATCH(C31, Sword_Bonuses[[#HEADERS],[Mi]]), Sword_Bonuses[Mi])  + IF(REGEXMATCH(C31, Sword_Bonuses[[#HEADERS],[Re]]), Sword_Bonuses[Re], 0) + IF(REGEXMATCH(C31, Sword_Bonuses[[#HEADERS],[Tr1]]), Sword_Bonuses[Tr1], 0) + IF(REGEXMATCH(C31"&amp;", Sword_Bonuses[[#HEADERS],[Tr2]]), Sword_Bonuses[Tr2], 0)"),1.8)</f>
        <v>1.8</v>
      </c>
      <c r="L31" s="158">
        <f t="shared" si="1"/>
        <v>277.2</v>
      </c>
      <c r="M31" s="160">
        <f>$K31 * D31 / Sword_Bonuses[Stam/Dmg]</f>
        <v>34.4304</v>
      </c>
      <c r="N31" s="158">
        <f>IFERROR(__xludf.DUMMYFUNCTION("IF(G31&gt;0, ($L31+$M31) * G31 * ($K31 + IF(AND(REGEXMATCH($C31, $B31), REGEXMATCH($C31,Sword_Bonuses[[#HEADERS],[Py]])), Sword_Bonuses[Py],) ) / $K31, 0)"),0.0)</f>
        <v>0</v>
      </c>
      <c r="O31" s="158">
        <f>IFERROR(__xludf.DUMMYFUNCTION("IF(H31&gt;0, ($L31+$M31) * H31 * ($K31 + IF(AND(REGEXMATCH($C31, $B31), REGEXMATCH($C31,Sword_Bonuses[[#HEADERS],[He]])), Sword_Bonuses[He],) ) / $K31, 0)"),0.0)</f>
        <v>0</v>
      </c>
      <c r="P31" s="158">
        <f>IFERROR(__xludf.DUMMYFUNCTION("IF(I31&gt;0, ($L31+$M31) * I31 * ($K31 + IF(AND(REGEXMATCH($C31, $B31), REGEXMATCH($C31,Sword_Bonuses[[#HEADERS],[Vo]])), Sword_Bonuses[Vo],) ) / $K31, 0)"),0.0)</f>
        <v>0</v>
      </c>
      <c r="Q31" s="160">
        <f>$K31 *E31 / Sword_Bonuses[Mag/Dmg]</f>
        <v>6</v>
      </c>
      <c r="R31" s="158">
        <f>IFERROR(__xludf.DUMMYFUNCTION("IF(G31&gt;0, ($L31+$Q31) * G31 * ($K31 + IF(AND(REGEXMATCH($C31, $B31), REGEXMATCH($C31,Sword_Bonuses[[#HEADERS],[Py]])), Sword_Bonuses[Py],) ) / $K31, 0)"),0.0)</f>
        <v>0</v>
      </c>
      <c r="S31" s="158">
        <f>IFERROR(__xludf.DUMMYFUNCTION("IF(H31&gt;0, ($L31+$Q31) * H31 * ($K31 + IF(AND(REGEXMATCH($C31, $B31), REGEXMATCH($C31,Sword_Bonuses[[#HEADERS],[He]])), Sword_Bonuses[He],) ) / $K31, 0)"),0.0)</f>
        <v>0</v>
      </c>
      <c r="T31" s="158">
        <f>IFERROR(__xludf.DUMMYFUNCTION("IF(I31&gt;0, ($L31+$Q31) * I31 * ($K31 + IF(AND(REGEXMATCH($C31, $B31), REGEXMATCH($C31,Sword_Bonuses[[#HEADERS],[Vo]])), Sword_Bonuses[Vo],) ) / $K31, 0)"),0.0)</f>
        <v>0</v>
      </c>
      <c r="U31" s="162">
        <f t="shared" si="2"/>
        <v>311.6304</v>
      </c>
      <c r="V31" s="237"/>
      <c r="W31" s="163" t="str">
        <f t="shared" si="3"/>
        <v/>
      </c>
      <c r="X31" s="205">
        <f>IFERROR(__xludf.DUMMYFUNCTION("Sword_Bonuses[Special
Mult] * ((L31 + Q31) * (K31 + IF(REGEXMATCH(C31, B31), If(REGEXMATCH(C31, Sword_Bonuses[[#HEADERS],[Py]]), Sword_Bonuses[Py], 0) + If(REGEXMATCH(C31, Sword_Bonuses[[#HEADERS],[He]]), Sword_Bonuses[He], 0) + If(REGEXMATCH(C31, Sword_B"&amp;"onuses[[#HEADERS],[Vo]]), Sword_Bonuses[Vo], 0), 0)) / K31 + SUM(R31:T31))"),314.66666666666663)</f>
        <v>314.6666667</v>
      </c>
      <c r="Y31" s="205"/>
      <c r="Z31" s="166" t="str">
        <f t="shared" si="4"/>
        <v/>
      </c>
    </row>
    <row r="32" ht="22.5" customHeight="1">
      <c r="A32" s="106" t="s">
        <v>111</v>
      </c>
      <c r="B32" s="108" t="s">
        <v>23</v>
      </c>
      <c r="C32" s="108" t="s">
        <v>107</v>
      </c>
      <c r="D32" s="247">
        <f>IFERROR(__xludf.DUMMYFUNCTION("200 + Scaling!$D$6 + Scaling!$C$15 + (INDEX(SPLIT($A32, "".""),3) + VLOOKUP(INDEX(SPLIT($A32, "".""),2), Rarity_Bonus_Levels_[[Identifier]:[Bonus Lvls]], 2) - 1) * (Scaling!$D$7 + Scaling!$C$16)"),2291.4)</f>
        <v>2291.4</v>
      </c>
      <c r="E32" s="247">
        <f t="shared" si="5"/>
        <v>200</v>
      </c>
      <c r="F32" s="248">
        <f>IFERROR(__xludf.DUMMYFUNCTION("Scaling!$D$4 + (INDEX(SPLIT($A32, "".""),3) + VLOOKUP(INDEX(SPLIT($A32, "".""),2), Rarity_Bonus_Levels_[[Identifier]:[Bonus Lvls]], 2) - 1) * (Scaling!$D$5)"),454.0)</f>
        <v>454</v>
      </c>
      <c r="G32" s="57">
        <v>0.08</v>
      </c>
      <c r="H32" s="57">
        <v>0.08</v>
      </c>
      <c r="I32" s="57">
        <v>0.08</v>
      </c>
      <c r="J32" s="256">
        <v>0.3</v>
      </c>
      <c r="K32" s="90">
        <f>IFERROR(__xludf.DUMMYFUNCTION("1 + J32 + IF(REGEXMATCH(C32, Sword_Bonuses[[#HEADERS],[Mi]]), Sword_Bonuses[Mi])  + IF(REGEXMATCH(C32, Sword_Bonuses[[#HEADERS],[Re]]), Sword_Bonuses[Re], 0) + IF(REGEXMATCH(C32, Sword_Bonuses[[#HEADERS],[Tr1]]), Sword_Bonuses[Tr1], 0) + IF(REGEXMATCH(C32"&amp;", Sword_Bonuses[[#HEADERS],[Tr2]]), Sword_Bonuses[Tr2], 0)"),1.8)</f>
        <v>1.8</v>
      </c>
      <c r="L32" s="44">
        <f t="shared" si="1"/>
        <v>817.2</v>
      </c>
      <c r="M32" s="68">
        <f>$K32 * D32 / Sword_Bonuses[Stam/Dmg]</f>
        <v>82.4904</v>
      </c>
      <c r="N32" s="44">
        <f>IFERROR(__xludf.DUMMYFUNCTION("IF(G32&gt;0, ($L32+$M32) * G32 * ($K32 + IF(AND(REGEXMATCH($C32, $B32), REGEXMATCH($C32,Sword_Bonuses[[#HEADERS],[Py]])), Sword_Bonuses[Py],) ) / $K32, 0)"),71.97523200000002)</f>
        <v>71.975232</v>
      </c>
      <c r="O32" s="44">
        <f>IFERROR(__xludf.DUMMYFUNCTION("IF(H32&gt;0, ($L32+$M32) * H32 * ($K32 + IF(AND(REGEXMATCH($C32, $B32), REGEXMATCH($C32,Sword_Bonuses[[#HEADERS],[He]])), Sword_Bonuses[He],) ) / $K32, 0)"),79.97248)</f>
        <v>79.97248</v>
      </c>
      <c r="P32" s="44">
        <f>IFERROR(__xludf.DUMMYFUNCTION("IF(I32&gt;0, ($L32+$M32) * I32 * ($K32 + IF(AND(REGEXMATCH($C32, $B32), REGEXMATCH($C32,Sword_Bonuses[[#HEADERS],[Vo]])), Sword_Bonuses[Vo],) ) / $K32, 0)"),71.97523200000002)</f>
        <v>71.975232</v>
      </c>
      <c r="Q32" s="68">
        <f>$K32 *E32 / Sword_Bonuses[Mag/Dmg]</f>
        <v>6</v>
      </c>
      <c r="R32" s="44">
        <f>IFERROR(__xludf.DUMMYFUNCTION("IF(G32&gt;0, ($L32+$Q32) * G32 * ($K32 + IF(AND(REGEXMATCH($C32, $B32), REGEXMATCH($C32,Sword_Bonuses[[#HEADERS],[Py]])), Sword_Bonuses[Py],) ) / $K32, 0)"),65.85600000000001)</f>
        <v>65.856</v>
      </c>
      <c r="S32" s="44">
        <f>IFERROR(__xludf.DUMMYFUNCTION("IF(H32&gt;0, ($L32+$Q32) * H32 * ($K32 + IF(AND(REGEXMATCH($C32, $B32), REGEXMATCH($C32,Sword_Bonuses[[#HEADERS],[He]])), Sword_Bonuses[He],) ) / $K32, 0)"),73.17333333333335)</f>
        <v>73.17333333</v>
      </c>
      <c r="T32" s="44">
        <f>IFERROR(__xludf.DUMMYFUNCTION("IF(I32&gt;0, ($L32+$Q32) * I32 * ($K32 + IF(AND(REGEXMATCH($C32, $B32), REGEXMATCH($C32,Sword_Bonuses[[#HEADERS],[Vo]])), Sword_Bonuses[Vo],) ) / $K32, 0)"),65.85600000000001)</f>
        <v>65.856</v>
      </c>
      <c r="U32" s="64">
        <f t="shared" si="2"/>
        <v>1123.613344</v>
      </c>
      <c r="V32" s="65"/>
      <c r="W32" s="69" t="str">
        <f t="shared" si="3"/>
        <v/>
      </c>
      <c r="X32" s="92">
        <f>IFERROR(__xludf.DUMMYFUNCTION("Sword_Bonuses[Special
Mult] * ((L32 + Q32) * (K32 + IF(REGEXMATCH(C32, B32), If(REGEXMATCH(C32, Sword_Bonuses[[#HEADERS],[Py]]), Sword_Bonuses[Py], 0) + If(REGEXMATCH(C32, Sword_Bonuses[[#HEADERS],[He]]), Sword_Bonuses[He], 0) + If(REGEXMATCH(C32, Sword_B"&amp;"onuses[[#HEADERS],[Vo]]), Sword_Bonuses[Vo], 0), 0)) / K32 + SUM(R32:T32))"),1119.5520000000001)</f>
        <v>1119.552</v>
      </c>
      <c r="Y32" s="92"/>
      <c r="Z32" s="72" t="str">
        <f t="shared" si="4"/>
        <v/>
      </c>
    </row>
    <row r="33" ht="22.5" customHeight="1">
      <c r="A33" s="259" t="s">
        <v>111</v>
      </c>
      <c r="B33" s="185" t="s">
        <v>23</v>
      </c>
      <c r="C33" s="101" t="s">
        <v>107</v>
      </c>
      <c r="D33" s="247">
        <f>IFERROR(__xludf.DUMMYFUNCTION("200 + Scaling!$D$6 + Scaling!$C$15 + (INDEX(SPLIT($A33, "".""),3) + VLOOKUP(INDEX(SPLIT($A33, "".""),2), Rarity_Bonus_Levels_[[Identifier]:[Bonus Lvls]], 2) - 1) * (Scaling!$D$7 + Scaling!$C$16)"),2291.4)</f>
        <v>2291.4</v>
      </c>
      <c r="E33" s="260">
        <f t="shared" si="5"/>
        <v>200</v>
      </c>
      <c r="F33" s="248">
        <f>IFERROR(__xludf.DUMMYFUNCTION("Scaling!$D$4 + (INDEX(SPLIT($A33, "".""),3) + VLOOKUP(INDEX(SPLIT($A33, "".""),2), Rarity_Bonus_Levels_[[Identifier]:[Bonus Lvls]], 2) - 1) * (Scaling!$D$5)"),454.0)</f>
        <v>454</v>
      </c>
      <c r="G33" s="187"/>
      <c r="H33" s="188">
        <v>0.2</v>
      </c>
      <c r="I33" s="189"/>
      <c r="J33" s="244">
        <v>0.3</v>
      </c>
      <c r="K33" s="90">
        <f>IFERROR(__xludf.DUMMYFUNCTION("1 + J33 + IF(REGEXMATCH(C33, Sword_Bonuses[[#HEADERS],[Mi]]), Sword_Bonuses[Mi])  + IF(REGEXMATCH(C33, Sword_Bonuses[[#HEADERS],[Re]]), Sword_Bonuses[Re], 0) + IF(REGEXMATCH(C33, Sword_Bonuses[[#HEADERS],[Tr1]]), Sword_Bonuses[Tr1], 0) + IF(REGEXMATCH(C33"&amp;", Sword_Bonuses[[#HEADERS],[Tr2]]), Sword_Bonuses[Tr2], 0)"),1.8)</f>
        <v>1.8</v>
      </c>
      <c r="L33" s="44">
        <f t="shared" si="1"/>
        <v>817.2</v>
      </c>
      <c r="M33" s="68">
        <f>$K33 * D33 / Sword_Bonuses[Stam/Dmg]</f>
        <v>82.4904</v>
      </c>
      <c r="N33" s="44">
        <f>IFERROR(__xludf.DUMMYFUNCTION("IF(G33&gt;0, ($L33+$M33) * G33 * ($K33 + IF(AND(REGEXMATCH($C33, $B33), REGEXMATCH($C33,Sword_Bonuses[[#HEADERS],[Py]])), Sword_Bonuses[Py],) ) / $K33, 0)"),0.0)</f>
        <v>0</v>
      </c>
      <c r="O33" s="44">
        <f>IFERROR(__xludf.DUMMYFUNCTION("IF(H33&gt;0, ($L33+$M33) * H33 * ($K33 + IF(AND(REGEXMATCH($C33, $B33), REGEXMATCH($C33,Sword_Bonuses[[#HEADERS],[He]])), Sword_Bonuses[He],) ) / $K33, 0)"),199.93120000000002)</f>
        <v>199.9312</v>
      </c>
      <c r="P33" s="44">
        <f>IFERROR(__xludf.DUMMYFUNCTION("IF(I33&gt;0, ($L33+$M33) * I33 * ($K33 + IF(AND(REGEXMATCH($C33, $B33), REGEXMATCH($C33,Sword_Bonuses[[#HEADERS],[Vo]])), Sword_Bonuses[Vo],) ) / $K33, 0)"),0.0)</f>
        <v>0</v>
      </c>
      <c r="Q33" s="68">
        <f>$K33 *E33 / Sword_Bonuses[Mag/Dmg]</f>
        <v>6</v>
      </c>
      <c r="R33" s="44">
        <f>IFERROR(__xludf.DUMMYFUNCTION("IF(G33&gt;0, ($L33+$Q33) * G33 * ($K33 + IF(AND(REGEXMATCH($C33, $B33), REGEXMATCH($C33,Sword_Bonuses[[#HEADERS],[Py]])), Sword_Bonuses[Py],) ) / $K33, 0)"),0.0)</f>
        <v>0</v>
      </c>
      <c r="S33" s="44">
        <f>IFERROR(__xludf.DUMMYFUNCTION("IF(H33&gt;0, ($L33+$Q33) * H33 * ($K33 + IF(AND(REGEXMATCH($C33, $B33), REGEXMATCH($C33,Sword_Bonuses[[#HEADERS],[He]])), Sword_Bonuses[He],) ) / $K33, 0)"),182.93333333333334)</f>
        <v>182.9333333</v>
      </c>
      <c r="T33" s="44">
        <f>IFERROR(__xludf.DUMMYFUNCTION("IF(I33&gt;0, ($L33+$Q33) * I33 * ($K33 + IF(AND(REGEXMATCH($C33, $B33), REGEXMATCH($C33,Sword_Bonuses[[#HEADERS],[Vo]])), Sword_Bonuses[Vo],) ) / $K33, 0)"),0.0)</f>
        <v>0</v>
      </c>
      <c r="U33" s="64">
        <f t="shared" si="2"/>
        <v>1099.6216</v>
      </c>
      <c r="V33" s="65"/>
      <c r="W33" s="69" t="str">
        <f t="shared" si="3"/>
        <v/>
      </c>
      <c r="X33" s="92">
        <f>IFERROR(__xludf.DUMMYFUNCTION("Sword_Bonuses[Special
Mult] * ((L33 + Q33) * (K33 + IF(REGEXMATCH(C33, B33), If(REGEXMATCH(C33, Sword_Bonuses[[#HEADERS],[Py]]), Sword_Bonuses[Py], 0) + If(REGEXMATCH(C33, Sword_Bonuses[[#HEADERS],[He]]), Sword_Bonuses[He], 0) + If(REGEXMATCH(C33, Sword_B"&amp;"onuses[[#HEADERS],[Vo]]), Sword_Bonuses[Vo], 0), 0)) / K33 + SUM(R33:T33))"),1097.6000000000001)</f>
        <v>1097.6</v>
      </c>
      <c r="Y33" s="92"/>
      <c r="Z33" s="72" t="str">
        <f t="shared" si="4"/>
        <v/>
      </c>
    </row>
    <row r="34" ht="22.5" customHeight="1">
      <c r="A34" s="106" t="s">
        <v>111</v>
      </c>
      <c r="B34" s="108" t="s">
        <v>23</v>
      </c>
      <c r="C34" s="108" t="s">
        <v>107</v>
      </c>
      <c r="D34" s="247">
        <f>IFERROR(__xludf.DUMMYFUNCTION("200 + Scaling!$D$6 + Scaling!$C$15 + (INDEX(SPLIT($A34, "".""),3) + VLOOKUP(INDEX(SPLIT($A34, "".""),2), Rarity_Bonus_Levels_[[Identifier]:[Bonus Lvls]], 2) - 1) * (Scaling!$D$7 + Scaling!$C$16)"),2291.4)</f>
        <v>2291.4</v>
      </c>
      <c r="E34" s="260">
        <f t="shared" si="5"/>
        <v>200</v>
      </c>
      <c r="F34" s="248">
        <f>IFERROR(__xludf.DUMMYFUNCTION("Scaling!$D$4 + (INDEX(SPLIT($A34, "".""),3) + VLOOKUP(INDEX(SPLIT($A34, "".""),2), Rarity_Bonus_Levels_[[Identifier]:[Bonus Lvls]], 2) - 1) * (Scaling!$D$5)"),454.0)</f>
        <v>454</v>
      </c>
      <c r="G34" s="203"/>
      <c r="H34" s="187"/>
      <c r="I34" s="203">
        <v>0.2</v>
      </c>
      <c r="J34" s="256">
        <v>0.3</v>
      </c>
      <c r="K34" s="90">
        <f>IFERROR(__xludf.DUMMYFUNCTION("1 + J34 + IF(REGEXMATCH(C34, Sword_Bonuses[[#HEADERS],[Mi]]), Sword_Bonuses[Mi])  + IF(REGEXMATCH(C34, Sword_Bonuses[[#HEADERS],[Re]]), Sword_Bonuses[Re], 0) + IF(REGEXMATCH(C34, Sword_Bonuses[[#HEADERS],[Tr1]]), Sword_Bonuses[Tr1], 0) + IF(REGEXMATCH(C34"&amp;", Sword_Bonuses[[#HEADERS],[Tr2]]), Sword_Bonuses[Tr2], 0)"),1.8)</f>
        <v>1.8</v>
      </c>
      <c r="L34" s="44">
        <f t="shared" si="1"/>
        <v>817.2</v>
      </c>
      <c r="M34" s="68">
        <f>$K34 * D34 / Sword_Bonuses[Stam/Dmg]</f>
        <v>82.4904</v>
      </c>
      <c r="N34" s="44">
        <f>IFERROR(__xludf.DUMMYFUNCTION("IF(G34&gt;0, ($L34+$M34) * G34 * ($K34 + IF(AND(REGEXMATCH($C34, $B34), REGEXMATCH($C34,Sword_Bonuses[[#HEADERS],[Py]])), Sword_Bonuses[Py],) ) / $K34, 0)"),0.0)</f>
        <v>0</v>
      </c>
      <c r="O34" s="44">
        <f>IFERROR(__xludf.DUMMYFUNCTION("IF(H34&gt;0, ($L34+$M34) * H34 * ($K34 + IF(AND(REGEXMATCH($C34, $B34), REGEXMATCH($C34,Sword_Bonuses[[#HEADERS],[He]])), Sword_Bonuses[He],) ) / $K34, 0)"),0.0)</f>
        <v>0</v>
      </c>
      <c r="P34" s="44">
        <f>IFERROR(__xludf.DUMMYFUNCTION("IF(I34&gt;0, ($L34+$M34) * I34 * ($K34 + IF(AND(REGEXMATCH($C34, $B34), REGEXMATCH($C34,Sword_Bonuses[[#HEADERS],[Vo]])), Sword_Bonuses[Vo],) ) / $K34, 0)"),179.93808)</f>
        <v>179.93808</v>
      </c>
      <c r="Q34" s="68">
        <f>$K34 *E34 / Sword_Bonuses[Mag/Dmg]</f>
        <v>6</v>
      </c>
      <c r="R34" s="44">
        <f>IFERROR(__xludf.DUMMYFUNCTION("IF(G34&gt;0, ($L34+$Q34) * G34 * ($K34 + IF(AND(REGEXMATCH($C34, $B34), REGEXMATCH($C34,Sword_Bonuses[[#HEADERS],[Py]])), Sword_Bonuses[Py],) ) / $K34, 0)"),0.0)</f>
        <v>0</v>
      </c>
      <c r="S34" s="44">
        <f>IFERROR(__xludf.DUMMYFUNCTION("IF(H34&gt;0, ($L34+$Q34) * H34 * ($K34 + IF(AND(REGEXMATCH($C34, $B34), REGEXMATCH($C34,Sword_Bonuses[[#HEADERS],[He]])), Sword_Bonuses[He],) ) / $K34, 0)"),0.0)</f>
        <v>0</v>
      </c>
      <c r="T34" s="44">
        <f>IFERROR(__xludf.DUMMYFUNCTION("IF(I34&gt;0, ($L34+$Q34) * I34 * ($K34 + IF(AND(REGEXMATCH($C34, $B34), REGEXMATCH($C34,Sword_Bonuses[[#HEADERS],[Vo]])), Sword_Bonuses[Vo],) ) / $K34, 0)"),164.64000000000001)</f>
        <v>164.64</v>
      </c>
      <c r="U34" s="64">
        <f t="shared" si="2"/>
        <v>1079.62848</v>
      </c>
      <c r="V34" s="65"/>
      <c r="W34" s="69" t="str">
        <f t="shared" si="3"/>
        <v/>
      </c>
      <c r="X34" s="92">
        <f>IFERROR(__xludf.DUMMYFUNCTION("Sword_Bonuses[Special
Mult] * ((L34 + Q34) * (K34 + IF(REGEXMATCH(C34, B34), If(REGEXMATCH(C34, Sword_Bonuses[[#HEADERS],[Py]]), Sword_Bonuses[Py], 0) + If(REGEXMATCH(C34, Sword_Bonuses[[#HEADERS],[He]]), Sword_Bonuses[He], 0) + If(REGEXMATCH(C34, Sword_B"&amp;"onuses[[#HEADERS],[Vo]]), Sword_Bonuses[Vo], 0), 0)) / K34 + SUM(R34:T34))"),1079.3066666666668)</f>
        <v>1079.306667</v>
      </c>
      <c r="Y34" s="92"/>
      <c r="Z34" s="72" t="str">
        <f t="shared" si="4"/>
        <v/>
      </c>
    </row>
    <row r="35" ht="22.5" customHeight="1">
      <c r="A35" s="280" t="s">
        <v>111</v>
      </c>
      <c r="B35" s="281" t="s">
        <v>23</v>
      </c>
      <c r="C35" s="281" t="s">
        <v>107</v>
      </c>
      <c r="D35" s="223">
        <f>IFERROR(__xludf.DUMMYFUNCTION("200 + Scaling!$D$6 + Scaling!$C$15 + (INDEX(SPLIT($A35, "".""),3) + VLOOKUP(INDEX(SPLIT($A35, "".""),2), Rarity_Bonus_Levels_[[Identifier]:[Bonus Lvls]], 2) - 1) * (Scaling!$D$7 + Scaling!$C$16)"),2291.4)</f>
        <v>2291.4</v>
      </c>
      <c r="E35" s="270">
        <f t="shared" si="5"/>
        <v>200</v>
      </c>
      <c r="F35" s="226">
        <f>IFERROR(__xludf.DUMMYFUNCTION("Scaling!$D$4 + (INDEX(SPLIT($A35, "".""),3) + VLOOKUP(INDEX(SPLIT($A35, "".""),2), Rarity_Bonus_Levels_[[Identifier]:[Bonus Lvls]], 2) - 1) * (Scaling!$D$5)"),454.0)</f>
        <v>454</v>
      </c>
      <c r="G35" s="282"/>
      <c r="H35" s="282"/>
      <c r="I35" s="282"/>
      <c r="J35" s="283">
        <v>0.3</v>
      </c>
      <c r="K35" s="90">
        <f>IFERROR(__xludf.DUMMYFUNCTION("1 + J35 + IF(REGEXMATCH(C35, Sword_Bonuses[[#HEADERS],[Mi]]), Sword_Bonuses[Mi])  + IF(REGEXMATCH(C35, Sword_Bonuses[[#HEADERS],[Re]]), Sword_Bonuses[Re], 0) + IF(REGEXMATCH(C35, Sword_Bonuses[[#HEADERS],[Tr1]]), Sword_Bonuses[Tr1], 0) + IF(REGEXMATCH(C35"&amp;", Sword_Bonuses[[#HEADERS],[Tr2]]), Sword_Bonuses[Tr2], 0)"),1.8)</f>
        <v>1.8</v>
      </c>
      <c r="L35" s="44">
        <f t="shared" si="1"/>
        <v>817.2</v>
      </c>
      <c r="M35" s="68">
        <f>$K35 * D35 / Sword_Bonuses[Stam/Dmg]</f>
        <v>82.4904</v>
      </c>
      <c r="N35" s="44">
        <f>IFERROR(__xludf.DUMMYFUNCTION("IF(G35&gt;0, ($L35+$M35) * G35 * ($K35 + IF(AND(REGEXMATCH($C35, $B35), REGEXMATCH($C35,Sword_Bonuses[[#HEADERS],[Py]])), Sword_Bonuses[Py],) ) / $K35, 0)"),0.0)</f>
        <v>0</v>
      </c>
      <c r="O35" s="44">
        <f>IFERROR(__xludf.DUMMYFUNCTION("IF(H35&gt;0, ($L35+$M35) * H35 * ($K35 + IF(AND(REGEXMATCH($C35, $B35), REGEXMATCH($C35,Sword_Bonuses[[#HEADERS],[He]])), Sword_Bonuses[He],) ) / $K35, 0)"),0.0)</f>
        <v>0</v>
      </c>
      <c r="P35" s="44">
        <f>IFERROR(__xludf.DUMMYFUNCTION("IF(I35&gt;0, ($L35+$M35) * I35 * ($K35 + IF(AND(REGEXMATCH($C35, $B35), REGEXMATCH($C35,Sword_Bonuses[[#HEADERS],[Vo]])), Sword_Bonuses[Vo],) ) / $K35, 0)"),0.0)</f>
        <v>0</v>
      </c>
      <c r="Q35" s="68">
        <f>$K35 *E35 / Sword_Bonuses[Mag/Dmg]</f>
        <v>6</v>
      </c>
      <c r="R35" s="44">
        <f>IFERROR(__xludf.DUMMYFUNCTION("IF(G35&gt;0, ($L35+$Q35) * G35 * ($K35 + IF(AND(REGEXMATCH($C35, $B35), REGEXMATCH($C35,Sword_Bonuses[[#HEADERS],[Py]])), Sword_Bonuses[Py],) ) / $K35, 0)"),0.0)</f>
        <v>0</v>
      </c>
      <c r="S35" s="44">
        <f>IFERROR(__xludf.DUMMYFUNCTION("IF(H35&gt;0, ($L35+$Q35) * H35 * ($K35 + IF(AND(REGEXMATCH($C35, $B35), REGEXMATCH($C35,Sword_Bonuses[[#HEADERS],[He]])), Sword_Bonuses[He],) ) / $K35, 0)"),0.0)</f>
        <v>0</v>
      </c>
      <c r="T35" s="44">
        <f>IFERROR(__xludf.DUMMYFUNCTION("IF(I35&gt;0, ($L35+$Q35) * I35 * ($K35 + IF(AND(REGEXMATCH($C35, $B35), REGEXMATCH($C35,Sword_Bonuses[[#HEADERS],[Vo]])), Sword_Bonuses[Vo],) ) / $K35, 0)"),0.0)</f>
        <v>0</v>
      </c>
      <c r="U35" s="64">
        <f t="shared" si="2"/>
        <v>899.6904</v>
      </c>
      <c r="V35" s="65"/>
      <c r="W35" s="69" t="str">
        <f t="shared" si="3"/>
        <v/>
      </c>
      <c r="X35" s="92">
        <f>IFERROR(__xludf.DUMMYFUNCTION("Sword_Bonuses[Special
Mult] * ((L35 + Q35) * (K35 + IF(REGEXMATCH(C35, B35), If(REGEXMATCH(C35, Sword_Bonuses[[#HEADERS],[Py]]), Sword_Bonuses[Py], 0) + If(REGEXMATCH(C35, Sword_Bonuses[[#HEADERS],[He]]), Sword_Bonuses[He], 0) + If(REGEXMATCH(C35, Sword_B"&amp;"onuses[[#HEADERS],[Vo]]), Sword_Bonuses[Vo], 0), 0)) / K35 + SUM(R35:T35))"),914.6666666666667)</f>
        <v>914.6666667</v>
      </c>
      <c r="Y35" s="92"/>
      <c r="Z35" s="72" t="str">
        <f t="shared" si="4"/>
        <v/>
      </c>
    </row>
    <row r="36">
      <c r="J36" s="7"/>
      <c r="K36" s="7"/>
      <c r="L36" s="7"/>
      <c r="M36" s="7"/>
    </row>
    <row r="37">
      <c r="J37" s="7"/>
      <c r="K37" s="7"/>
      <c r="L37" s="7"/>
      <c r="M37" s="7"/>
    </row>
    <row r="38">
      <c r="J38" s="7"/>
      <c r="K38" s="7"/>
      <c r="L38" s="7"/>
      <c r="M38" s="7"/>
    </row>
    <row r="39">
      <c r="J39" s="7"/>
      <c r="K39" s="7"/>
      <c r="L39" s="7"/>
      <c r="M39" s="7"/>
    </row>
  </sheetData>
  <mergeCells count="8">
    <mergeCell ref="D1:G1"/>
    <mergeCell ref="H1:J1"/>
    <mergeCell ref="A5:J5"/>
    <mergeCell ref="K5:L5"/>
    <mergeCell ref="M5:P5"/>
    <mergeCell ref="Q5:T5"/>
    <mergeCell ref="U5:W5"/>
    <mergeCell ref="X5:Z5"/>
  </mergeCells>
  <conditionalFormatting sqref="W7:W35">
    <cfRule type="colorScale" priority="1">
      <colorScale>
        <cfvo type="formula" val="0"/>
        <cfvo type="formula" val="0.015"/>
        <cfvo type="formula" val="0.03"/>
        <color rgb="FF57BB8A"/>
        <color rgb="FFFFD666"/>
        <color rgb="FFE67C73"/>
      </colorScale>
    </cfRule>
  </conditionalFormatting>
  <conditionalFormatting sqref="Z7:Z35">
    <cfRule type="colorScale" priority="2">
      <colorScale>
        <cfvo type="formula" val="0"/>
        <cfvo type="formula" val="0.015"/>
        <cfvo type="formula" val="0.03"/>
        <color rgb="FF57BB8A"/>
        <color rgb="FFFFD666"/>
        <color rgb="FFE67C73"/>
      </colorScale>
    </cfRule>
  </conditionalFormatting>
  <conditionalFormatting sqref="A1:Z39">
    <cfRule type="cellIs" dxfId="7" priority="3" operator="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1.13"/>
    <col customWidth="1" min="2" max="22" width="10.63"/>
    <col customWidth="1" min="23" max="23" width="11.13"/>
    <col customWidth="1" min="24" max="26" width="10.63"/>
  </cols>
  <sheetData>
    <row r="1">
      <c r="B1" s="3"/>
      <c r="D1" s="3" t="s">
        <v>1</v>
      </c>
      <c r="I1" s="3" t="s">
        <v>3</v>
      </c>
      <c r="L1" s="7"/>
      <c r="M1" s="7"/>
    </row>
    <row r="2" ht="22.5" customHeight="1">
      <c r="A2" s="13" t="s">
        <v>10</v>
      </c>
      <c r="B2" s="13" t="s">
        <v>7</v>
      </c>
      <c r="C2" s="9" t="s">
        <v>13</v>
      </c>
      <c r="D2" s="14" t="s">
        <v>112</v>
      </c>
      <c r="E2" s="9" t="s">
        <v>56</v>
      </c>
      <c r="F2" s="26" t="s">
        <v>58</v>
      </c>
      <c r="G2" s="9" t="s">
        <v>18</v>
      </c>
      <c r="H2" s="9" t="s">
        <v>20</v>
      </c>
      <c r="I2" s="14" t="s">
        <v>22</v>
      </c>
      <c r="J2" s="9" t="s">
        <v>23</v>
      </c>
      <c r="K2" s="9" t="s">
        <v>25</v>
      </c>
      <c r="N2" s="7"/>
      <c r="O2" s="7"/>
      <c r="P2" s="7"/>
      <c r="Q2" s="7"/>
    </row>
    <row r="3" ht="22.5" customHeight="1">
      <c r="A3" s="16">
        <v>30.0</v>
      </c>
      <c r="B3" s="16">
        <v>35.0</v>
      </c>
      <c r="C3" s="16">
        <v>1.5</v>
      </c>
      <c r="D3" s="284">
        <v>0.2</v>
      </c>
      <c r="E3" s="15">
        <v>0.1</v>
      </c>
      <c r="F3" s="32">
        <v>0.2</v>
      </c>
      <c r="G3" s="15">
        <v>0.1</v>
      </c>
      <c r="H3" s="15">
        <v>0.2</v>
      </c>
      <c r="I3" s="17">
        <v>0.2</v>
      </c>
      <c r="J3" s="15">
        <v>0.2</v>
      </c>
      <c r="K3" s="16">
        <v>0.2</v>
      </c>
      <c r="M3" s="286" t="s">
        <v>113</v>
      </c>
      <c r="N3" s="7"/>
      <c r="O3" s="7"/>
      <c r="P3" s="7"/>
      <c r="Q3" s="7"/>
    </row>
    <row r="4">
      <c r="J4" s="7"/>
      <c r="K4" s="7"/>
      <c r="L4" s="7"/>
      <c r="M4" s="7"/>
    </row>
    <row r="5">
      <c r="A5" s="19" t="s">
        <v>27</v>
      </c>
      <c r="K5" s="20" t="s">
        <v>28</v>
      </c>
      <c r="M5" s="20" t="s">
        <v>35</v>
      </c>
      <c r="Q5" s="20" t="s">
        <v>37</v>
      </c>
      <c r="U5" s="20" t="s">
        <v>29</v>
      </c>
      <c r="X5" s="20" t="s">
        <v>30</v>
      </c>
    </row>
    <row r="6" ht="22.5" customHeight="1">
      <c r="A6" s="9" t="s">
        <v>114</v>
      </c>
      <c r="B6" s="21" t="s">
        <v>33</v>
      </c>
      <c r="C6" s="21" t="s">
        <v>34</v>
      </c>
      <c r="D6" s="9" t="s">
        <v>45</v>
      </c>
      <c r="E6" s="9" t="s">
        <v>36</v>
      </c>
      <c r="F6" s="9" t="s">
        <v>38</v>
      </c>
      <c r="G6" s="22" t="s">
        <v>39</v>
      </c>
      <c r="H6" s="22" t="s">
        <v>41</v>
      </c>
      <c r="I6" s="22" t="s">
        <v>42</v>
      </c>
      <c r="J6" s="23" t="s">
        <v>43</v>
      </c>
      <c r="K6" s="24" t="s">
        <v>46</v>
      </c>
      <c r="L6" s="9" t="s">
        <v>48</v>
      </c>
      <c r="M6" s="24" t="s">
        <v>61</v>
      </c>
      <c r="N6" s="9" t="s">
        <v>50</v>
      </c>
      <c r="O6" s="9" t="s">
        <v>51</v>
      </c>
      <c r="P6" s="25" t="s">
        <v>52</v>
      </c>
      <c r="Q6" s="14" t="s">
        <v>47</v>
      </c>
      <c r="R6" s="9" t="s">
        <v>66</v>
      </c>
      <c r="S6" s="9" t="s">
        <v>67</v>
      </c>
      <c r="T6" s="9" t="s">
        <v>68</v>
      </c>
      <c r="U6" s="14" t="s">
        <v>53</v>
      </c>
      <c r="V6" s="9" t="s">
        <v>54</v>
      </c>
      <c r="W6" s="25" t="s">
        <v>57</v>
      </c>
      <c r="X6" s="14" t="s">
        <v>59</v>
      </c>
      <c r="Y6" s="9" t="s">
        <v>60</v>
      </c>
      <c r="Z6" s="9" t="s">
        <v>62</v>
      </c>
    </row>
    <row r="7" ht="22.5" customHeight="1">
      <c r="A7" s="80" t="s">
        <v>115</v>
      </c>
      <c r="B7" s="81" t="s">
        <v>22</v>
      </c>
      <c r="C7" s="81" t="s">
        <v>22</v>
      </c>
      <c r="D7" s="53">
        <v>217.0</v>
      </c>
      <c r="E7" s="55">
        <v>205.0</v>
      </c>
      <c r="F7" s="56">
        <v>101.0</v>
      </c>
      <c r="G7" s="57">
        <v>0.1</v>
      </c>
      <c r="H7" s="57">
        <v>0.0</v>
      </c>
      <c r="I7" s="57">
        <v>0.0</v>
      </c>
      <c r="J7" s="58">
        <v>0.0</v>
      </c>
      <c r="K7" s="43">
        <f>IFERROR(__xludf.DUMMYFUNCTION("1 + J7 + IF(REGEXMATCH(C7, Dagger_Bonuses[[#HEADERS],[De]]), Dagger_Bonuses[De]) + IF(REGEXMATCH(C7, Dagger_Bonuses[[#HEADERS],[Mi]]), Dagger_Bonuses[Mi])  + IF(REGEXMATCH(C7, Dagger_Bonuses[[#HEADERS],[Re]]), Dagger_Bonuses[Re], 0) + IF(REGEXMATCH(C7, Da"&amp;"gger_Bonuses[[#HEADERS],[Tr1]]), Dagger_Bonuses[Tr1], 0) + IF(REGEXMATCH(C7, Dagger_Bonuses[[#HEADERS],[Tr2]]), Dagger_Bonuses[Tr2], 0)"),1.0)</f>
        <v>1</v>
      </c>
      <c r="L7" s="44">
        <f t="shared" ref="L7:L30" si="1">F7 * K7</f>
        <v>101</v>
      </c>
      <c r="M7" s="68">
        <f>$K7 *D7 / Dagger_Bonuses[Stam/Dmg]</f>
        <v>7.233333333</v>
      </c>
      <c r="N7" s="44">
        <f>IFERROR(__xludf.DUMMYFUNCTION("IF(G7&gt;0, ($L7+$M7) * G7 * ($K7 + IF(AND(REGEXMATCH($C7, $B7), REGEXMATCH($C7,Dagger_Bonuses[[#HEADERS],[Py]])), Dagger_Bonuses[Py],) ) / $K7, 0)"),12.988000000000001)</f>
        <v>12.988</v>
      </c>
      <c r="O7" s="44">
        <f>IFERROR(__xludf.DUMMYFUNCTION("IF(H7&gt;0, ($L7+$M7) * H7 * ($K7 + IF(AND(REGEXMATCH($C7, $B7), REGEXMATCH($C7,Dagger_Bonuses[[#HEADERS],[He]])), Dagger_Bonuses[He],) ) / $K7, 0)"),0.0)</f>
        <v>0</v>
      </c>
      <c r="P7" s="44">
        <f>IFERROR(__xludf.DUMMYFUNCTION("IF(I7&gt;0, ($L7+$M7) * I7 * ($K7 + IF(AND(REGEXMATCH($C7, $B7), REGEXMATCH($C7,Dagger_Bonuses[[#HEADERS],[Vo]])), Dagger_Bonuses[Vo],) ) / $K7, 0)"),0.0)</f>
        <v>0</v>
      </c>
      <c r="Q7" s="68">
        <f>$K7 *E7 / Dagger_Bonuses[Mag/Dmg]</f>
        <v>5.857142857</v>
      </c>
      <c r="R7" s="44">
        <f>IFERROR(__xludf.DUMMYFUNCTION("IF(G7&gt;0, ($L7+$Q7) * G7 * ($K7 + IF(AND(REGEXMATCH($C7, $B7), REGEXMATCH($C7,Dagger_Bonuses[[#HEADERS],[Py]])), Dagger_Bonuses[Py],) ) / $K7, 0)"),12.822857142857144)</f>
        <v>12.82285714</v>
      </c>
      <c r="S7" s="44">
        <f>IFERROR(__xludf.DUMMYFUNCTION("IF(H7&gt;0, ($L7+$Q7) * H7 * ($K7 + IF(AND(REGEXMATCH($C7, $B7), REGEXMATCH($C7,Dagger_Bonuses[[#HEADERS],[He]])), Dagger_Bonuses[He],) ) / $K7, 0)"),0.0)</f>
        <v>0</v>
      </c>
      <c r="T7" s="44">
        <f>IFERROR(__xludf.DUMMYFUNCTION("IF(I7&gt;0, ($L7+$Q7) * I7 * ($K7 + IF(AND(REGEXMATCH($C7, $B7), REGEXMATCH($C7,Dagger_Bonuses[[#HEADERS],[Vo]])), Dagger_Bonuses[Vo],) ) / $K7, 0)"),0.0)</f>
        <v>0</v>
      </c>
      <c r="U7" s="64">
        <f t="shared" ref="U7:U30" si="2">SUM(L7:P7)</f>
        <v>121.2213333</v>
      </c>
      <c r="V7" s="79">
        <v>121.0</v>
      </c>
      <c r="W7" s="69">
        <f t="shared" ref="W7:W30" si="3">IF(AND(U7&gt;0,V7&gt;0), ABS(V7-U7)/V7, )</f>
        <v>0.001829201102</v>
      </c>
      <c r="X7" s="71">
        <f>IFERROR(__xludf.DUMMYFUNCTION("Dagger_Bonuses[Special
Mult] * ((L7 + Q7) * (K7 + IF(REGEXMATCH(C7, B7), If(REGEXMATCH(C7, Dagger_Bonuses[[#HEADERS],[Py]]), Dagger_Bonuses[Py], 0) + If(REGEXMATCH(C7, Dagger_Bonuses[[#HEADERS],[He]]), Dagger_Bonuses[He], 0) + If(REGEXMATCH(C7, Dagger_Bon"&amp;"uses[[#HEADERS],[Vo]]), Dagger_Bonuses[Vo], 0), 0)) / K7 + SUM(R7:T7))"),211.57714285714286)</f>
        <v>211.5771429</v>
      </c>
      <c r="Y7" s="55">
        <v>211.0</v>
      </c>
      <c r="Z7" s="72">
        <f t="shared" ref="Z7:Z30" si="4">IF(AND(X7&gt;0,Y7&gt;0), ABS(Y7-X7)/Y7, )</f>
        <v>0.002735274204</v>
      </c>
    </row>
    <row r="8" ht="22.5" customHeight="1">
      <c r="A8" s="80" t="s">
        <v>115</v>
      </c>
      <c r="B8" s="81" t="s">
        <v>22</v>
      </c>
      <c r="C8" s="81" t="s">
        <v>22</v>
      </c>
      <c r="D8" s="53">
        <v>217.0</v>
      </c>
      <c r="E8" s="55">
        <v>205.0</v>
      </c>
      <c r="F8" s="56">
        <v>101.0</v>
      </c>
      <c r="G8" s="57">
        <v>0.0</v>
      </c>
      <c r="H8" s="57">
        <v>0.1</v>
      </c>
      <c r="I8" s="57">
        <v>0.0</v>
      </c>
      <c r="J8" s="58">
        <v>0.0</v>
      </c>
      <c r="K8" s="43">
        <f>IFERROR(__xludf.DUMMYFUNCTION("1 + J8 + IF(REGEXMATCH(C8, Dagger_Bonuses[[#HEADERS],[De]]), Dagger_Bonuses[De]) + IF(REGEXMATCH(C8, Dagger_Bonuses[[#HEADERS],[Mi]]), Dagger_Bonuses[Mi])  + IF(REGEXMATCH(C8, Dagger_Bonuses[[#HEADERS],[Re]]), Dagger_Bonuses[Re], 0) + IF(REGEXMATCH(C8, Da"&amp;"gger_Bonuses[[#HEADERS],[Tr1]]), Dagger_Bonuses[Tr1], 0) + IF(REGEXMATCH(C8, Dagger_Bonuses[[#HEADERS],[Tr2]]), Dagger_Bonuses[Tr2], 0)"),1.0)</f>
        <v>1</v>
      </c>
      <c r="L8" s="44">
        <f t="shared" si="1"/>
        <v>101</v>
      </c>
      <c r="M8" s="68">
        <f>$K8 *D8 / Dagger_Bonuses[Stam/Dmg]</f>
        <v>7.233333333</v>
      </c>
      <c r="N8" s="44">
        <f>IFERROR(__xludf.DUMMYFUNCTION("IF(G8&gt;0, ($L8+$M8) * G8 * ($K8 + IF(AND(REGEXMATCH($C8, $B8), REGEXMATCH($C8,Dagger_Bonuses[[#HEADERS],[Py]])), Dagger_Bonuses[Py],) ) / $K8, 0)"),0.0)</f>
        <v>0</v>
      </c>
      <c r="O8" s="44">
        <f>IFERROR(__xludf.DUMMYFUNCTION("IF(H8&gt;0, ($L8+$M8) * H8 * ($K8 + IF(AND(REGEXMATCH($C8, $B8), REGEXMATCH($C8,Dagger_Bonuses[[#HEADERS],[He]])), Dagger_Bonuses[He],) ) / $K8, 0)"),10.823333333333334)</f>
        <v>10.82333333</v>
      </c>
      <c r="P8" s="44">
        <f>IFERROR(__xludf.DUMMYFUNCTION("IF(I8&gt;0, ($L8+$M8) * I8 * ($K8 + IF(AND(REGEXMATCH($C8, $B8), REGEXMATCH($C8,Dagger_Bonuses[[#HEADERS],[Vo]])), Dagger_Bonuses[Vo],) ) / $K8, 0)"),0.0)</f>
        <v>0</v>
      </c>
      <c r="Q8" s="68">
        <f>$K8 *E8 / Dagger_Bonuses[Mag/Dmg]</f>
        <v>5.857142857</v>
      </c>
      <c r="R8" s="44">
        <f>IFERROR(__xludf.DUMMYFUNCTION("IF(G8&gt;0, ($L8+$Q8) * G8 * ($K8 + IF(AND(REGEXMATCH($C8, $B8), REGEXMATCH($C8,Dagger_Bonuses[[#HEADERS],[Py]])), Dagger_Bonuses[Py],) ) / $K8, 0)"),0.0)</f>
        <v>0</v>
      </c>
      <c r="S8" s="44">
        <f>IFERROR(__xludf.DUMMYFUNCTION("IF(H8&gt;0, ($L8+$Q8) * H8 * ($K8 + IF(AND(REGEXMATCH($C8, $B8), REGEXMATCH($C8,Dagger_Bonuses[[#HEADERS],[He]])), Dagger_Bonuses[He],) ) / $K8, 0)"),10.685714285714287)</f>
        <v>10.68571429</v>
      </c>
      <c r="T8" s="44">
        <f>IFERROR(__xludf.DUMMYFUNCTION("IF(I8&gt;0, ($L8+$Q8) * I8 * ($K8 + IF(AND(REGEXMATCH($C8, $B8), REGEXMATCH($C8,Dagger_Bonuses[[#HEADERS],[Vo]])), Dagger_Bonuses[Vo],) ) / $K8, 0)"),0.0)</f>
        <v>0</v>
      </c>
      <c r="U8" s="64">
        <f t="shared" si="2"/>
        <v>119.0566667</v>
      </c>
      <c r="V8" s="29">
        <v>118.0</v>
      </c>
      <c r="W8" s="69">
        <f t="shared" si="3"/>
        <v>0.00895480226</v>
      </c>
      <c r="X8" s="71">
        <f>IFERROR(__xludf.DUMMYFUNCTION("Dagger_Bonuses[Special
Mult] * ((L8 + Q8) * (K8 + IF(REGEXMATCH(C8, B8), If(REGEXMATCH(C8, Dagger_Bonuses[[#HEADERS],[Py]]), Dagger_Bonuses[Py], 0) + If(REGEXMATCH(C8, Dagger_Bonuses[[#HEADERS],[He]]), Dagger_Bonuses[He], 0) + If(REGEXMATCH(C8, Dagger_Bon"&amp;"uses[[#HEADERS],[Vo]]), Dagger_Bonuses[Vo], 0), 0)) / K8 + SUM(R8:T8))"),208.37142857142857)</f>
        <v>208.3714286</v>
      </c>
      <c r="Y8" s="55">
        <v>208.0</v>
      </c>
      <c r="Z8" s="72">
        <f t="shared" si="4"/>
        <v>0.001785714286</v>
      </c>
    </row>
    <row r="9" ht="22.5" customHeight="1">
      <c r="A9" s="80" t="s">
        <v>115</v>
      </c>
      <c r="B9" s="81" t="s">
        <v>22</v>
      </c>
      <c r="C9" s="81" t="s">
        <v>22</v>
      </c>
      <c r="D9" s="53">
        <v>217.0</v>
      </c>
      <c r="E9" s="55">
        <v>629.0</v>
      </c>
      <c r="F9" s="56">
        <v>101.0</v>
      </c>
      <c r="G9" s="57">
        <v>0.1</v>
      </c>
      <c r="H9" s="57">
        <v>0.0</v>
      </c>
      <c r="I9" s="57">
        <v>0.0</v>
      </c>
      <c r="J9" s="58">
        <v>0.0</v>
      </c>
      <c r="K9" s="90">
        <f>IFERROR(__xludf.DUMMYFUNCTION("1 + J9 + IF(REGEXMATCH(C9, Dagger_Bonuses[[#HEADERS],[De]]), Dagger_Bonuses[De]) + IF(REGEXMATCH(C9, Dagger_Bonuses[[#HEADERS],[Mi]]), Dagger_Bonuses[Mi])  + IF(REGEXMATCH(C9, Dagger_Bonuses[[#HEADERS],[Re]]), Dagger_Bonuses[Re], 0) + IF(REGEXMATCH(C9, Da"&amp;"gger_Bonuses[[#HEADERS],[Tr1]]), Dagger_Bonuses[Tr1], 0) + IF(REGEXMATCH(C9, Dagger_Bonuses[[#HEADERS],[Tr2]]), Dagger_Bonuses[Tr2], 0)"),1.0)</f>
        <v>1</v>
      </c>
      <c r="L9" s="44">
        <f t="shared" si="1"/>
        <v>101</v>
      </c>
      <c r="M9" s="68">
        <f>$K9 *D9 / Dagger_Bonuses[Stam/Dmg]</f>
        <v>7.233333333</v>
      </c>
      <c r="N9" s="44">
        <f>IFERROR(__xludf.DUMMYFUNCTION("IF(G9&gt;0, ($L9+$M9) * G9 * ($K9 + IF(AND(REGEXMATCH($C9, $B9), REGEXMATCH($C9,Dagger_Bonuses[[#HEADERS],[Py]])), Dagger_Bonuses[Py],) ) / $K9, 0)"),12.988000000000001)</f>
        <v>12.988</v>
      </c>
      <c r="O9" s="44">
        <f>IFERROR(__xludf.DUMMYFUNCTION("IF(H9&gt;0, ($L9+$M9) * H9 * ($K9 + IF(AND(REGEXMATCH($C9, $B9), REGEXMATCH($C9,Dagger_Bonuses[[#HEADERS],[He]])), Dagger_Bonuses[He],) ) / $K9, 0)"),0.0)</f>
        <v>0</v>
      </c>
      <c r="P9" s="44">
        <f>IFERROR(__xludf.DUMMYFUNCTION("IF(I9&gt;0, ($L9+$M9) * I9 * ($K9 + IF(AND(REGEXMATCH($C9, $B9), REGEXMATCH($C9,Dagger_Bonuses[[#HEADERS],[Vo]])), Dagger_Bonuses[Vo],) ) / $K9, 0)"),0.0)</f>
        <v>0</v>
      </c>
      <c r="Q9" s="68">
        <f>$K9 *E9 / Dagger_Bonuses[Mag/Dmg]</f>
        <v>17.97142857</v>
      </c>
      <c r="R9" s="44">
        <f>IFERROR(__xludf.DUMMYFUNCTION("IF(G9&gt;0, ($L9+$Q9) * G9 * ($K9 + IF(AND(REGEXMATCH($C9, $B9), REGEXMATCH($C9,Dagger_Bonuses[[#HEADERS],[Py]])), Dagger_Bonuses[Py],) ) / $K9, 0)"),14.27657142857143)</f>
        <v>14.27657143</v>
      </c>
      <c r="S9" s="44">
        <f>IFERROR(__xludf.DUMMYFUNCTION("IF(H9&gt;0, ($L9+$Q9) * H9 * ($K9 + IF(AND(REGEXMATCH($C9, $B9), REGEXMATCH($C9,Dagger_Bonuses[[#HEADERS],[He]])), Dagger_Bonuses[He],) ) / $K9, 0)"),0.0)</f>
        <v>0</v>
      </c>
      <c r="T9" s="44">
        <f>IFERROR(__xludf.DUMMYFUNCTION("IF(I9&gt;0, ($L9+$Q9) * I9 * ($K9 + IF(AND(REGEXMATCH($C9, $B9), REGEXMATCH($C9,Dagger_Bonuses[[#HEADERS],[Vo]])), Dagger_Bonuses[Vo],) ) / $K9, 0)"),0.0)</f>
        <v>0</v>
      </c>
      <c r="U9" s="64">
        <f t="shared" si="2"/>
        <v>121.2213333</v>
      </c>
      <c r="V9" s="79">
        <v>121.0</v>
      </c>
      <c r="W9" s="69">
        <f t="shared" si="3"/>
        <v>0.001829201102</v>
      </c>
      <c r="X9" s="93">
        <f>IFERROR(__xludf.DUMMYFUNCTION("Dagger_Bonuses[Special
Mult] * ((L9 + Q9) * (K9 + IF(REGEXMATCH(C9, B9), If(REGEXMATCH(C9, Dagger_Bonuses[[#HEADERS],[Py]]), Dagger_Bonuses[Py], 0) + If(REGEXMATCH(C9, Dagger_Bonuses[[#HEADERS],[He]]), Dagger_Bonuses[He], 0) + If(REGEXMATCH(C9, Dagger_Bon"&amp;"uses[[#HEADERS],[Vo]]), Dagger_Bonuses[Vo], 0), 0)) / K9 + SUM(R9:T9))"),235.56342857142857)</f>
        <v>235.5634286</v>
      </c>
      <c r="Y9" s="55">
        <v>236.0</v>
      </c>
      <c r="Z9" s="72">
        <f t="shared" si="4"/>
        <v>0.001849878935</v>
      </c>
    </row>
    <row r="10" ht="22.5" customHeight="1">
      <c r="A10" s="80" t="s">
        <v>115</v>
      </c>
      <c r="B10" s="81" t="s">
        <v>22</v>
      </c>
      <c r="C10" s="81" t="s">
        <v>22</v>
      </c>
      <c r="D10" s="53">
        <v>217.0</v>
      </c>
      <c r="E10" s="55">
        <v>629.0</v>
      </c>
      <c r="F10" s="56">
        <v>101.0</v>
      </c>
      <c r="G10" s="57">
        <v>0.0</v>
      </c>
      <c r="H10" s="57">
        <v>0.1</v>
      </c>
      <c r="I10" s="57">
        <v>0.0</v>
      </c>
      <c r="J10" s="58">
        <v>0.0</v>
      </c>
      <c r="K10" s="90">
        <f>IFERROR(__xludf.DUMMYFUNCTION("1 + J10 + IF(REGEXMATCH(C10, Dagger_Bonuses[[#HEADERS],[De]]), Dagger_Bonuses[De]) + IF(REGEXMATCH(C10, Dagger_Bonuses[[#HEADERS],[Mi]]), Dagger_Bonuses[Mi])  + IF(REGEXMATCH(C10, Dagger_Bonuses[[#HEADERS],[Re]]), Dagger_Bonuses[Re], 0) + IF(REGEXMATCH(C1"&amp;"0, Dagger_Bonuses[[#HEADERS],[Tr1]]), Dagger_Bonuses[Tr1], 0) + IF(REGEXMATCH(C10, Dagger_Bonuses[[#HEADERS],[Tr2]]), Dagger_Bonuses[Tr2], 0)"),1.0)</f>
        <v>1</v>
      </c>
      <c r="L10" s="44">
        <f t="shared" si="1"/>
        <v>101</v>
      </c>
      <c r="M10" s="68">
        <f>$K10 *D10 / Dagger_Bonuses[Stam/Dmg]</f>
        <v>7.233333333</v>
      </c>
      <c r="N10" s="44">
        <f>IFERROR(__xludf.DUMMYFUNCTION("IF(G10&gt;0, ($L10+$M10) * G10 * ($K10 + IF(AND(REGEXMATCH($C10, $B10), REGEXMATCH($C10,Dagger_Bonuses[[#HEADERS],[Py]])), Dagger_Bonuses[Py],) ) / $K10, 0)"),0.0)</f>
        <v>0</v>
      </c>
      <c r="O10" s="44">
        <f>IFERROR(__xludf.DUMMYFUNCTION("IF(H10&gt;0, ($L10+$M10) * H10 * ($K10 + IF(AND(REGEXMATCH($C10, $B10), REGEXMATCH($C10,Dagger_Bonuses[[#HEADERS],[He]])), Dagger_Bonuses[He],) ) / $K10, 0)"),10.823333333333334)</f>
        <v>10.82333333</v>
      </c>
      <c r="P10" s="44">
        <f>IFERROR(__xludf.DUMMYFUNCTION("IF(I10&gt;0, ($L10+$M10) * I10 * ($K10 + IF(AND(REGEXMATCH($C10, $B10), REGEXMATCH($C10,Dagger_Bonuses[[#HEADERS],[Vo]])), Dagger_Bonuses[Vo],) ) / $K10, 0)"),0.0)</f>
        <v>0</v>
      </c>
      <c r="Q10" s="68">
        <f>$K10 *E10 / Dagger_Bonuses[Mag/Dmg]</f>
        <v>17.97142857</v>
      </c>
      <c r="R10" s="44">
        <f>IFERROR(__xludf.DUMMYFUNCTION("IF(G10&gt;0, ($L10+$Q10) * G10 * ($K10 + IF(AND(REGEXMATCH($C10, $B10), REGEXMATCH($C10,Dagger_Bonuses[[#HEADERS],[Py]])), Dagger_Bonuses[Py],) ) / $K10, 0)"),0.0)</f>
        <v>0</v>
      </c>
      <c r="S10" s="44">
        <f>IFERROR(__xludf.DUMMYFUNCTION("IF(H10&gt;0, ($L10+$Q10) * H10 * ($K10 + IF(AND(REGEXMATCH($C10, $B10), REGEXMATCH($C10,Dagger_Bonuses[[#HEADERS],[He]])), Dagger_Bonuses[He],) ) / $K10, 0)"),11.897142857142859)</f>
        <v>11.89714286</v>
      </c>
      <c r="T10" s="44">
        <f>IFERROR(__xludf.DUMMYFUNCTION("IF(I10&gt;0, ($L10+$Q10) * I10 * ($K10 + IF(AND(REGEXMATCH($C10, $B10), REGEXMATCH($C10,Dagger_Bonuses[[#HEADERS],[Vo]])), Dagger_Bonuses[Vo],) ) / $K10, 0)"),0.0)</f>
        <v>0</v>
      </c>
      <c r="U10" s="64">
        <f t="shared" si="2"/>
        <v>119.0566667</v>
      </c>
      <c r="V10" s="29">
        <v>118.0</v>
      </c>
      <c r="W10" s="69">
        <f t="shared" si="3"/>
        <v>0.00895480226</v>
      </c>
      <c r="X10" s="93">
        <f>IFERROR(__xludf.DUMMYFUNCTION("Dagger_Bonuses[Special
Mult] * ((L10 + Q10) * (K10 + IF(REGEXMATCH(C10, B10), If(REGEXMATCH(C10, Dagger_Bonuses[[#HEADERS],[Py]]), Dagger_Bonuses[Py], 0) + If(REGEXMATCH(C10, Dagger_Bonuses[[#HEADERS],[He]]), Dagger_Bonuses[He], 0) + If(REGEXMATCH(C10, Da"&amp;"gger_Bonuses[[#HEADERS],[Vo]]), Dagger_Bonuses[Vo], 0), 0)) / K10 + SUM(R10:T10))"),231.99428571428572)</f>
        <v>231.9942857</v>
      </c>
      <c r="Y10" s="55">
        <v>233.0</v>
      </c>
      <c r="Z10" s="72">
        <f t="shared" si="4"/>
        <v>0.004316370325</v>
      </c>
    </row>
    <row r="11" ht="22.5" customHeight="1">
      <c r="A11" s="80" t="s">
        <v>115</v>
      </c>
      <c r="B11" s="81" t="s">
        <v>22</v>
      </c>
      <c r="C11" s="81" t="s">
        <v>22</v>
      </c>
      <c r="D11" s="53">
        <v>1108.0</v>
      </c>
      <c r="E11" s="55">
        <v>205.0</v>
      </c>
      <c r="F11" s="56">
        <v>101.0</v>
      </c>
      <c r="G11" s="57">
        <v>0.1</v>
      </c>
      <c r="H11" s="57">
        <v>0.0</v>
      </c>
      <c r="I11" s="57">
        <v>0.0</v>
      </c>
      <c r="J11" s="58">
        <v>0.0</v>
      </c>
      <c r="K11" s="90">
        <f>IFERROR(__xludf.DUMMYFUNCTION("1 + J11 + IF(REGEXMATCH(C11, Dagger_Bonuses[[#HEADERS],[De]]), Dagger_Bonuses[De]) + IF(REGEXMATCH(C11, Dagger_Bonuses[[#HEADERS],[Mi]]), Dagger_Bonuses[Mi])  + IF(REGEXMATCH(C11, Dagger_Bonuses[[#HEADERS],[Re]]), Dagger_Bonuses[Re], 0) + IF(REGEXMATCH(C1"&amp;"1, Dagger_Bonuses[[#HEADERS],[Tr1]]), Dagger_Bonuses[Tr1], 0) + IF(REGEXMATCH(C11, Dagger_Bonuses[[#HEADERS],[Tr2]]), Dagger_Bonuses[Tr2], 0)"),1.0)</f>
        <v>1</v>
      </c>
      <c r="L11" s="44">
        <f t="shared" si="1"/>
        <v>101</v>
      </c>
      <c r="M11" s="68">
        <f>$K11 *D11 / Dagger_Bonuses[Stam/Dmg]</f>
        <v>36.93333333</v>
      </c>
      <c r="N11" s="44">
        <f>IFERROR(__xludf.DUMMYFUNCTION("IF(G11&gt;0, ($L11+$M11) * G11 * ($K11 + IF(AND(REGEXMATCH($C11, $B11), REGEXMATCH($C11,Dagger_Bonuses[[#HEADERS],[Py]])), Dagger_Bonuses[Py],) ) / $K11, 0)"),16.552)</f>
        <v>16.552</v>
      </c>
      <c r="O11" s="44">
        <f>IFERROR(__xludf.DUMMYFUNCTION("IF(H11&gt;0, ($L11+$M11) * H11 * ($K11 + IF(AND(REGEXMATCH($C11, $B11), REGEXMATCH($C11,Dagger_Bonuses[[#HEADERS],[He]])), Dagger_Bonuses[He],) ) / $K11, 0)"),0.0)</f>
        <v>0</v>
      </c>
      <c r="P11" s="44">
        <f>IFERROR(__xludf.DUMMYFUNCTION("IF(I11&gt;0, ($L11+$M11) * I11 * ($K11 + IF(AND(REGEXMATCH($C11, $B11), REGEXMATCH($C11,Dagger_Bonuses[[#HEADERS],[Vo]])), Dagger_Bonuses[Vo],) ) / $K11, 0)"),0.0)</f>
        <v>0</v>
      </c>
      <c r="Q11" s="68">
        <f>$K11 *E11 / Dagger_Bonuses[Mag/Dmg]</f>
        <v>5.857142857</v>
      </c>
      <c r="R11" s="44">
        <f>IFERROR(__xludf.DUMMYFUNCTION("IF(G11&gt;0, ($L11+$Q11) * G11 * ($K11 + IF(AND(REGEXMATCH($C11, $B11), REGEXMATCH($C11,Dagger_Bonuses[[#HEADERS],[Py]])), Dagger_Bonuses[Py],) ) / $K11, 0)"),12.822857142857144)</f>
        <v>12.82285714</v>
      </c>
      <c r="S11" s="44">
        <f>IFERROR(__xludf.DUMMYFUNCTION("IF(H11&gt;0, ($L11+$Q11) * H11 * ($K11 + IF(AND(REGEXMATCH($C11, $B11), REGEXMATCH($C11,Dagger_Bonuses[[#HEADERS],[He]])), Dagger_Bonuses[He],) ) / $K11, 0)"),0.0)</f>
        <v>0</v>
      </c>
      <c r="T11" s="44">
        <f>IFERROR(__xludf.DUMMYFUNCTION("IF(I11&gt;0, ($L11+$Q11) * I11 * ($K11 + IF(AND(REGEXMATCH($C11, $B11), REGEXMATCH($C11,Dagger_Bonuses[[#HEADERS],[Vo]])), Dagger_Bonuses[Vo],) ) / $K11, 0)"),0.0)</f>
        <v>0</v>
      </c>
      <c r="U11" s="64">
        <f t="shared" si="2"/>
        <v>154.4853333</v>
      </c>
      <c r="V11" s="29">
        <v>154.0</v>
      </c>
      <c r="W11" s="69">
        <f t="shared" si="3"/>
        <v>0.003151515152</v>
      </c>
      <c r="X11" s="93">
        <f>IFERROR(__xludf.DUMMYFUNCTION("Dagger_Bonuses[Special
Mult] * ((L11 + Q11) * (K11 + IF(REGEXMATCH(C11, B11), If(REGEXMATCH(C11, Dagger_Bonuses[[#HEADERS],[Py]]), Dagger_Bonuses[Py], 0) + If(REGEXMATCH(C11, Dagger_Bonuses[[#HEADERS],[He]]), Dagger_Bonuses[He], 0) + If(REGEXMATCH(C11, Da"&amp;"gger_Bonuses[[#HEADERS],[Vo]]), Dagger_Bonuses[Vo], 0), 0)) / K11 + SUM(R11:T11))"),211.57714285714286)</f>
        <v>211.5771429</v>
      </c>
      <c r="Y11" s="55">
        <v>211.0</v>
      </c>
      <c r="Z11" s="72">
        <f t="shared" si="4"/>
        <v>0.002735274204</v>
      </c>
    </row>
    <row r="12" ht="22.5" customHeight="1">
      <c r="A12" s="80" t="s">
        <v>115</v>
      </c>
      <c r="B12" s="81" t="s">
        <v>22</v>
      </c>
      <c r="C12" s="81" t="s">
        <v>22</v>
      </c>
      <c r="D12" s="53">
        <v>1108.0</v>
      </c>
      <c r="E12" s="55">
        <v>205.0</v>
      </c>
      <c r="F12" s="56">
        <v>101.0</v>
      </c>
      <c r="G12" s="57">
        <v>0.0</v>
      </c>
      <c r="H12" s="57">
        <v>0.1</v>
      </c>
      <c r="I12" s="57">
        <v>0.0</v>
      </c>
      <c r="J12" s="58">
        <v>0.0</v>
      </c>
      <c r="K12" s="43">
        <f>IFERROR(__xludf.DUMMYFUNCTION("1 + J12 + IF(REGEXMATCH(C12, Dagger_Bonuses[[#HEADERS],[De]]), Dagger_Bonuses[De]) + IF(REGEXMATCH(C12, Dagger_Bonuses[[#HEADERS],[Mi]]), Dagger_Bonuses[Mi])  + IF(REGEXMATCH(C12, Dagger_Bonuses[[#HEADERS],[Re]]), Dagger_Bonuses[Re], 0) + IF(REGEXMATCH(C1"&amp;"2, Dagger_Bonuses[[#HEADERS],[Tr1]]), Dagger_Bonuses[Tr1], 0) + IF(REGEXMATCH(C12, Dagger_Bonuses[[#HEADERS],[Tr2]]), Dagger_Bonuses[Tr2], 0)"),1.0)</f>
        <v>1</v>
      </c>
      <c r="L12" s="44">
        <f t="shared" si="1"/>
        <v>101</v>
      </c>
      <c r="M12" s="68">
        <f>$K12 *D12 / Dagger_Bonuses[Stam/Dmg]</f>
        <v>36.93333333</v>
      </c>
      <c r="N12" s="44">
        <f>IFERROR(__xludf.DUMMYFUNCTION("IF(G12&gt;0, ($L12+$M12) * G12 * ($K12 + IF(AND(REGEXMATCH($C12, $B12), REGEXMATCH($C12,Dagger_Bonuses[[#HEADERS],[Py]])), Dagger_Bonuses[Py],) ) / $K12, 0)"),0.0)</f>
        <v>0</v>
      </c>
      <c r="O12" s="44">
        <f>IFERROR(__xludf.DUMMYFUNCTION("IF(H12&gt;0, ($L12+$M12) * H12 * ($K12 + IF(AND(REGEXMATCH($C12, $B12), REGEXMATCH($C12,Dagger_Bonuses[[#HEADERS],[He]])), Dagger_Bonuses[He],) ) / $K12, 0)"),13.793333333333335)</f>
        <v>13.79333333</v>
      </c>
      <c r="P12" s="44">
        <f>IFERROR(__xludf.DUMMYFUNCTION("IF(I12&gt;0, ($L12+$M12) * I12 * ($K12 + IF(AND(REGEXMATCH($C12, $B12), REGEXMATCH($C12,Dagger_Bonuses[[#HEADERS],[Vo]])), Dagger_Bonuses[Vo],) ) / $K12, 0)"),0.0)</f>
        <v>0</v>
      </c>
      <c r="Q12" s="68">
        <f>$K12 *E12 / Dagger_Bonuses[Mag/Dmg]</f>
        <v>5.857142857</v>
      </c>
      <c r="R12" s="44">
        <f>IFERROR(__xludf.DUMMYFUNCTION("IF(G12&gt;0, ($L12+$Q12) * G12 * ($K12 + IF(AND(REGEXMATCH($C12, $B12), REGEXMATCH($C12,Dagger_Bonuses[[#HEADERS],[Py]])), Dagger_Bonuses[Py],) ) / $K12, 0)"),0.0)</f>
        <v>0</v>
      </c>
      <c r="S12" s="44">
        <f>IFERROR(__xludf.DUMMYFUNCTION("IF(H12&gt;0, ($L12+$Q12) * H12 * ($K12 + IF(AND(REGEXMATCH($C12, $B12), REGEXMATCH($C12,Dagger_Bonuses[[#HEADERS],[He]])), Dagger_Bonuses[He],) ) / $K12, 0)"),10.685714285714287)</f>
        <v>10.68571429</v>
      </c>
      <c r="T12" s="44">
        <f>IFERROR(__xludf.DUMMYFUNCTION("IF(I12&gt;0, ($L12+$Q12) * I12 * ($K12 + IF(AND(REGEXMATCH($C12, $B12), REGEXMATCH($C12,Dagger_Bonuses[[#HEADERS],[Vo]])), Dagger_Bonuses[Vo],) ) / $K12, 0)"),0.0)</f>
        <v>0</v>
      </c>
      <c r="U12" s="64">
        <f t="shared" si="2"/>
        <v>151.7266667</v>
      </c>
      <c r="V12" s="105">
        <v>151.0</v>
      </c>
      <c r="W12" s="69">
        <f t="shared" si="3"/>
        <v>0.004812362031</v>
      </c>
      <c r="X12" s="71">
        <f>IFERROR(__xludf.DUMMYFUNCTION("Dagger_Bonuses[Special
Mult] * ((L12 + Q12) * (K12 + IF(REGEXMATCH(C12, B12), If(REGEXMATCH(C12, Dagger_Bonuses[[#HEADERS],[Py]]), Dagger_Bonuses[Py], 0) + If(REGEXMATCH(C12, Dagger_Bonuses[[#HEADERS],[He]]), Dagger_Bonuses[He], 0) + If(REGEXMATCH(C12, Da"&amp;"gger_Bonuses[[#HEADERS],[Vo]]), Dagger_Bonuses[Vo], 0), 0)) / K12 + SUM(R12:T12))"),208.37142857142857)</f>
        <v>208.3714286</v>
      </c>
      <c r="Y12" s="55">
        <v>208.0</v>
      </c>
      <c r="Z12" s="72">
        <f t="shared" si="4"/>
        <v>0.001785714286</v>
      </c>
    </row>
    <row r="13" ht="22.5" customHeight="1">
      <c r="A13" s="47" t="s">
        <v>116</v>
      </c>
      <c r="B13" s="81" t="s">
        <v>22</v>
      </c>
      <c r="C13" s="81" t="s">
        <v>117</v>
      </c>
      <c r="D13" s="53">
        <v>491.0</v>
      </c>
      <c r="E13" s="55">
        <v>651.0</v>
      </c>
      <c r="F13" s="56">
        <v>273.0</v>
      </c>
      <c r="G13" s="57">
        <v>0.0</v>
      </c>
      <c r="H13" s="57">
        <v>0.0</v>
      </c>
      <c r="I13" s="57">
        <v>0.2</v>
      </c>
      <c r="J13" s="58">
        <v>0.0</v>
      </c>
      <c r="K13" s="43">
        <f>IFERROR(__xludf.DUMMYFUNCTION("1 + J13 + IF(REGEXMATCH(C13, Dagger_Bonuses[[#HEADERS],[De]]), Dagger_Bonuses[De]) + IF(REGEXMATCH(C13, Dagger_Bonuses[[#HEADERS],[Mi]]), Dagger_Bonuses[Mi])  + IF(REGEXMATCH(C13, Dagger_Bonuses[[#HEADERS],[Re]]), Dagger_Bonuses[Re], 0) + IF(REGEXMATCH(C1"&amp;"3, Dagger_Bonuses[[#HEADERS],[Tr1]]), Dagger_Bonuses[Tr1], 0) + IF(REGEXMATCH(C13, Dagger_Bonuses[[#HEADERS],[Tr2]]), Dagger_Bonuses[Tr2], 0)"),1.5999999999999999)</f>
        <v>1.6</v>
      </c>
      <c r="L13" s="44">
        <f t="shared" si="1"/>
        <v>436.8</v>
      </c>
      <c r="M13" s="68">
        <f>$K13 *D13 / Dagger_Bonuses[Stam/Dmg]</f>
        <v>26.18666667</v>
      </c>
      <c r="N13" s="44">
        <f>IFERROR(__xludf.DUMMYFUNCTION("IF(G13&gt;0, ($L13+$M13) * G13 * ($K13 + IF(AND(REGEXMATCH($C13, $B13), REGEXMATCH($C13,Dagger_Bonuses[[#HEADERS],[Py]])), Dagger_Bonuses[Py],) ) / $K13, 0)"),0.0)</f>
        <v>0</v>
      </c>
      <c r="O13" s="44">
        <f>IFERROR(__xludf.DUMMYFUNCTION("IF(H13&gt;0, ($L13+$M13) * H13 * ($K13 + IF(AND(REGEXMATCH($C13, $B13), REGEXMATCH($C13,Dagger_Bonuses[[#HEADERS],[He]])), Dagger_Bonuses[He],) ) / $K13, 0)"),0.0)</f>
        <v>0</v>
      </c>
      <c r="P13" s="44">
        <f>IFERROR(__xludf.DUMMYFUNCTION("IF(I13&gt;0, ($L13+$M13) * I13 * ($K13 + IF(AND(REGEXMATCH($C13, $B13), REGEXMATCH($C13,Dagger_Bonuses[[#HEADERS],[Vo]])), Dagger_Bonuses[Vo],) ) / $K13, 0)"),92.59733333333332)</f>
        <v>92.59733333</v>
      </c>
      <c r="Q13" s="68">
        <f>$K13 *E13 / Dagger_Bonuses[Mag/Dmg]</f>
        <v>29.76</v>
      </c>
      <c r="R13" s="44">
        <f>IFERROR(__xludf.DUMMYFUNCTION("IF(G13&gt;0, ($L13+$Q13) * G13 * ($K13 + IF(AND(REGEXMATCH($C13, $B13), REGEXMATCH($C13,Dagger_Bonuses[[#HEADERS],[Py]])), Dagger_Bonuses[Py],) ) / $K13, 0)"),0.0)</f>
        <v>0</v>
      </c>
      <c r="S13" s="44">
        <f>IFERROR(__xludf.DUMMYFUNCTION("IF(H13&gt;0, ($L13+$Q13) * H13 * ($K13 + IF(AND(REGEXMATCH($C13, $B13), REGEXMATCH($C13,Dagger_Bonuses[[#HEADERS],[He]])), Dagger_Bonuses[He],) ) / $K13, 0)"),0.0)</f>
        <v>0</v>
      </c>
      <c r="T13" s="44">
        <f>IFERROR(__xludf.DUMMYFUNCTION("IF(I13&gt;0, ($L13+$Q13) * I13 * ($K13 + IF(AND(REGEXMATCH($C13, $B13), REGEXMATCH($C13,Dagger_Bonuses[[#HEADERS],[Vo]])), Dagger_Bonuses[Vo],) ) / $K13, 0)"),93.312)</f>
        <v>93.312</v>
      </c>
      <c r="U13" s="64">
        <f t="shared" si="2"/>
        <v>555.584</v>
      </c>
      <c r="V13" s="105">
        <v>556.0</v>
      </c>
      <c r="W13" s="69">
        <f t="shared" si="3"/>
        <v>0.0007482014388</v>
      </c>
      <c r="X13" s="71">
        <f>IFERROR(__xludf.DUMMYFUNCTION("Dagger_Bonuses[Special
Mult] * ((L13 + Q13) * (K13 + IF(REGEXMATCH(C13, B13), If(REGEXMATCH(C13, Dagger_Bonuses[[#HEADERS],[Py]]), Dagger_Bonuses[Py], 0) + If(REGEXMATCH(C13, Dagger_Bonuses[[#HEADERS],[He]]), Dagger_Bonuses[He], 0) + If(REGEXMATCH(C13, Da"&amp;"gger_Bonuses[[#HEADERS],[Vo]]), Dagger_Bonuses[Vo], 0), 0)) / K13 + SUM(R13:T13))"),839.808)</f>
        <v>839.808</v>
      </c>
      <c r="Y13" s="55">
        <v>844.0</v>
      </c>
      <c r="Z13" s="72">
        <f t="shared" si="4"/>
        <v>0.004966824645</v>
      </c>
    </row>
    <row r="14" ht="22.5" customHeight="1">
      <c r="A14" s="47" t="s">
        <v>116</v>
      </c>
      <c r="B14" s="81" t="s">
        <v>22</v>
      </c>
      <c r="C14" s="81" t="s">
        <v>117</v>
      </c>
      <c r="D14" s="53">
        <v>1382.0</v>
      </c>
      <c r="E14" s="55">
        <v>227.0</v>
      </c>
      <c r="F14" s="56">
        <v>273.0</v>
      </c>
      <c r="G14" s="57">
        <v>0.0</v>
      </c>
      <c r="H14" s="57">
        <v>0.0</v>
      </c>
      <c r="I14" s="57">
        <v>0.2</v>
      </c>
      <c r="J14" s="58">
        <v>0.0</v>
      </c>
      <c r="K14" s="43">
        <f>IFERROR(__xludf.DUMMYFUNCTION("1 + J14 + IF(REGEXMATCH(C14, Dagger_Bonuses[[#HEADERS],[De]]), Dagger_Bonuses[De]) + IF(REGEXMATCH(C14, Dagger_Bonuses[[#HEADERS],[Mi]]), Dagger_Bonuses[Mi])  + IF(REGEXMATCH(C14, Dagger_Bonuses[[#HEADERS],[Re]]), Dagger_Bonuses[Re], 0) + IF(REGEXMATCH(C1"&amp;"4, Dagger_Bonuses[[#HEADERS],[Tr1]]), Dagger_Bonuses[Tr1], 0) + IF(REGEXMATCH(C14, Dagger_Bonuses[[#HEADERS],[Tr2]]), Dagger_Bonuses[Tr2], 0)"),1.5999999999999999)</f>
        <v>1.6</v>
      </c>
      <c r="L14" s="44">
        <f t="shared" si="1"/>
        <v>436.8</v>
      </c>
      <c r="M14" s="68">
        <f>$K14 *D14 / Dagger_Bonuses[Stam/Dmg]</f>
        <v>73.70666667</v>
      </c>
      <c r="N14" s="44">
        <f>IFERROR(__xludf.DUMMYFUNCTION("IF(G14&gt;0, ($L14+$M14) * G14 * ($K14 + IF(AND(REGEXMATCH($C14, $B14), REGEXMATCH($C14,Dagger_Bonuses[[#HEADERS],[Py]])), Dagger_Bonuses[Py],) ) / $K14, 0)"),0.0)</f>
        <v>0</v>
      </c>
      <c r="O14" s="44">
        <f>IFERROR(__xludf.DUMMYFUNCTION("IF(H14&gt;0, ($L14+$M14) * H14 * ($K14 + IF(AND(REGEXMATCH($C14, $B14), REGEXMATCH($C14,Dagger_Bonuses[[#HEADERS],[He]])), Dagger_Bonuses[He],) ) / $K14, 0)"),0.0)</f>
        <v>0</v>
      </c>
      <c r="P14" s="44">
        <f>IFERROR(__xludf.DUMMYFUNCTION("IF(I14&gt;0, ($L14+$M14) * I14 * ($K14 + IF(AND(REGEXMATCH($C14, $B14), REGEXMATCH($C14,Dagger_Bonuses[[#HEADERS],[Vo]])), Dagger_Bonuses[Vo],) ) / $K14, 0)"),102.10133333333333)</f>
        <v>102.1013333</v>
      </c>
      <c r="Q14" s="68">
        <f>$K14 *E14 / Dagger_Bonuses[Mag/Dmg]</f>
        <v>10.37714286</v>
      </c>
      <c r="R14" s="44">
        <f>IFERROR(__xludf.DUMMYFUNCTION("IF(G14&gt;0, ($L14+$Q14) * G14 * ($K14 + IF(AND(REGEXMATCH($C14, $B14), REGEXMATCH($C14,Dagger_Bonuses[[#HEADERS],[Py]])), Dagger_Bonuses[Py],) ) / $K14, 0)"),0.0)</f>
        <v>0</v>
      </c>
      <c r="S14" s="44">
        <f>IFERROR(__xludf.DUMMYFUNCTION("IF(H14&gt;0, ($L14+$Q14) * H14 * ($K14 + IF(AND(REGEXMATCH($C14, $B14), REGEXMATCH($C14,Dagger_Bonuses[[#HEADERS],[He]])), Dagger_Bonuses[He],) ) / $K14, 0)"),0.0)</f>
        <v>0</v>
      </c>
      <c r="T14" s="44">
        <f>IFERROR(__xludf.DUMMYFUNCTION("IF(I14&gt;0, ($L14+$Q14) * I14 * ($K14 + IF(AND(REGEXMATCH($C14, $B14), REGEXMATCH($C14,Dagger_Bonuses[[#HEADERS],[Vo]])), Dagger_Bonuses[Vo],) ) / $K14, 0)"),89.43542857142857)</f>
        <v>89.43542857</v>
      </c>
      <c r="U14" s="64">
        <f t="shared" si="2"/>
        <v>612.608</v>
      </c>
      <c r="V14" s="29">
        <v>612.0</v>
      </c>
      <c r="W14" s="69">
        <f t="shared" si="3"/>
        <v>0.0009934640523</v>
      </c>
      <c r="X14" s="71">
        <f>IFERROR(__xludf.DUMMYFUNCTION("Dagger_Bonuses[Special
Mult] * ((L14 + Q14) * (K14 + IF(REGEXMATCH(C14, B14), If(REGEXMATCH(C14, Dagger_Bonuses[[#HEADERS],[Py]]), Dagger_Bonuses[Py], 0) + If(REGEXMATCH(C14, Dagger_Bonuses[[#HEADERS],[He]]), Dagger_Bonuses[He], 0) + If(REGEXMATCH(C14, Da"&amp;"gger_Bonuses[[#HEADERS],[Vo]]), Dagger_Bonuses[Vo], 0), 0)) / K14 + SUM(R14:T14))"),804.9188571428572)</f>
        <v>804.9188571</v>
      </c>
      <c r="Y14" s="55">
        <v>807.0</v>
      </c>
      <c r="Z14" s="72">
        <f t="shared" si="4"/>
        <v>0.002578863516</v>
      </c>
    </row>
    <row r="15" ht="22.5" customHeight="1">
      <c r="A15" s="47" t="s">
        <v>116</v>
      </c>
      <c r="B15" s="81" t="s">
        <v>22</v>
      </c>
      <c r="C15" s="81" t="s">
        <v>117</v>
      </c>
      <c r="D15" s="53">
        <v>1022.0</v>
      </c>
      <c r="E15" s="55">
        <v>227.0</v>
      </c>
      <c r="F15" s="56">
        <v>273.0</v>
      </c>
      <c r="G15" s="57">
        <v>0.0</v>
      </c>
      <c r="H15" s="57">
        <v>0.0</v>
      </c>
      <c r="I15" s="57">
        <v>0.2</v>
      </c>
      <c r="J15" s="58">
        <v>0.3</v>
      </c>
      <c r="K15" s="43">
        <f>IFERROR(__xludf.DUMMYFUNCTION("1 + J15 + IF(REGEXMATCH(C15, Dagger_Bonuses[[#HEADERS],[De]]), Dagger_Bonuses[De]) + IF(REGEXMATCH(C15, Dagger_Bonuses[[#HEADERS],[Mi]]), Dagger_Bonuses[Mi])  + IF(REGEXMATCH(C15, Dagger_Bonuses[[#HEADERS],[Re]]), Dagger_Bonuses[Re], 0) + IF(REGEXMATCH(C1"&amp;"5, Dagger_Bonuses[[#HEADERS],[Tr1]]), Dagger_Bonuses[Tr1], 0) + IF(REGEXMATCH(C15, Dagger_Bonuses[[#HEADERS],[Tr2]]), Dagger_Bonuses[Tr2], 0)"),1.9)</f>
        <v>1.9</v>
      </c>
      <c r="L15" s="44">
        <f t="shared" si="1"/>
        <v>518.7</v>
      </c>
      <c r="M15" s="68">
        <f>$K15 *D15 / Dagger_Bonuses[Stam/Dmg]</f>
        <v>64.72666667</v>
      </c>
      <c r="N15" s="44">
        <f>IFERROR(__xludf.DUMMYFUNCTION("IF(G15&gt;0, ($L15+$M15) * G15 * ($K15 + IF(AND(REGEXMATCH($C15, $B15), REGEXMATCH($C15,Dagger_Bonuses[[#HEADERS],[Py]])), Dagger_Bonuses[Py],) ) / $K15, 0)"),0.0)</f>
        <v>0</v>
      </c>
      <c r="O15" s="44">
        <f>IFERROR(__xludf.DUMMYFUNCTION("IF(H15&gt;0, ($L15+$M15) * H15 * ($K15 + IF(AND(REGEXMATCH($C15, $B15), REGEXMATCH($C15,Dagger_Bonuses[[#HEADERS],[He]])), Dagger_Bonuses[He],) ) / $K15, 0)"),0.0)</f>
        <v>0</v>
      </c>
      <c r="P15" s="44">
        <f>IFERROR(__xludf.DUMMYFUNCTION("IF(I15&gt;0, ($L15+$M15) * I15 * ($K15 + IF(AND(REGEXMATCH($C15, $B15), REGEXMATCH($C15,Dagger_Bonuses[[#HEADERS],[Vo]])), Dagger_Bonuses[Vo],) ) / $K15, 0)"),116.68533333333332)</f>
        <v>116.6853333</v>
      </c>
      <c r="Q15" s="68">
        <f>$K15 *E15 / Dagger_Bonuses[Mag/Dmg]</f>
        <v>12.32285714</v>
      </c>
      <c r="R15" s="44">
        <f>IFERROR(__xludf.DUMMYFUNCTION("IF(G15&gt;0, ($L15+$Q15) * G15 * ($K15 + IF(AND(REGEXMATCH($C15, $B15), REGEXMATCH($C15,Dagger_Bonuses[[#HEADERS],[Py]])), Dagger_Bonuses[Py],) ) / $K15, 0)"),0.0)</f>
        <v>0</v>
      </c>
      <c r="S15" s="44">
        <f>IFERROR(__xludf.DUMMYFUNCTION("IF(H15&gt;0, ($L15+$Q15) * H15 * ($K15 + IF(AND(REGEXMATCH($C15, $B15), REGEXMATCH($C15,Dagger_Bonuses[[#HEADERS],[He]])), Dagger_Bonuses[He],) ) / $K15, 0)"),0.0)</f>
        <v>0</v>
      </c>
      <c r="T15" s="44">
        <f>IFERROR(__xludf.DUMMYFUNCTION("IF(I15&gt;0, ($L15+$Q15) * I15 * ($K15 + IF(AND(REGEXMATCH($C15, $B15), REGEXMATCH($C15,Dagger_Bonuses[[#HEADERS],[Vo]])), Dagger_Bonuses[Vo],) ) / $K15, 0)"),106.20457142857143)</f>
        <v>106.2045714</v>
      </c>
      <c r="U15" s="64">
        <f t="shared" si="2"/>
        <v>700.112</v>
      </c>
      <c r="V15" s="79">
        <v>700.0</v>
      </c>
      <c r="W15" s="69">
        <f t="shared" si="3"/>
        <v>0.00016</v>
      </c>
      <c r="X15" s="71">
        <f>IFERROR(__xludf.DUMMYFUNCTION("Dagger_Bonuses[Special
Mult] * ((L15 + Q15) * (K15 + IF(REGEXMATCH(C15, B15), If(REGEXMATCH(C15, Dagger_Bonuses[[#HEADERS],[Py]]), Dagger_Bonuses[Py], 0) + If(REGEXMATCH(C15, Dagger_Bonuses[[#HEADERS],[He]]), Dagger_Bonuses[He], 0) + If(REGEXMATCH(C15, Da"&amp;"gger_Bonuses[[#HEADERS],[Vo]]), Dagger_Bonuses[Vo], 0), 0)) / K15 + SUM(R15:T15))"),955.8411428571428)</f>
        <v>955.8411429</v>
      </c>
      <c r="Y15" s="55">
        <v>958.0</v>
      </c>
      <c r="Z15" s="72">
        <f t="shared" si="4"/>
        <v>0.002253504324</v>
      </c>
    </row>
    <row r="16" ht="22.5" customHeight="1">
      <c r="A16" s="47" t="s">
        <v>118</v>
      </c>
      <c r="B16" s="81" t="s">
        <v>22</v>
      </c>
      <c r="C16" s="81" t="s">
        <v>117</v>
      </c>
      <c r="D16" s="53">
        <v>1180.0</v>
      </c>
      <c r="E16" s="55">
        <v>651.0</v>
      </c>
      <c r="F16" s="56">
        <v>1020.0</v>
      </c>
      <c r="G16" s="57">
        <v>0.0</v>
      </c>
      <c r="H16" s="57">
        <v>0.0</v>
      </c>
      <c r="I16" s="57">
        <v>0.0</v>
      </c>
      <c r="J16" s="58">
        <v>0.0</v>
      </c>
      <c r="K16" s="43">
        <f>IFERROR(__xludf.DUMMYFUNCTION("1 + J16 + IF(REGEXMATCH(C16, Dagger_Bonuses[[#HEADERS],[De]]), Dagger_Bonuses[De]) + IF(REGEXMATCH(C16, Dagger_Bonuses[[#HEADERS],[Mi]]), Dagger_Bonuses[Mi])  + IF(REGEXMATCH(C16, Dagger_Bonuses[[#HEADERS],[Re]]), Dagger_Bonuses[Re], 0) + IF(REGEXMATCH(C1"&amp;"6, Dagger_Bonuses[[#HEADERS],[Tr1]]), Dagger_Bonuses[Tr1], 0) + IF(REGEXMATCH(C16, Dagger_Bonuses[[#HEADERS],[Tr2]]), Dagger_Bonuses[Tr2], 0)"),1.5999999999999999)</f>
        <v>1.6</v>
      </c>
      <c r="L16" s="44">
        <f t="shared" si="1"/>
        <v>1632</v>
      </c>
      <c r="M16" s="68">
        <f>$K16 *D16 / Dagger_Bonuses[Stam/Dmg]</f>
        <v>62.93333333</v>
      </c>
      <c r="N16" s="44">
        <f>IFERROR(__xludf.DUMMYFUNCTION("IF(G16&gt;0, ($L16+$M16) * G16 * ($K16 + IF(AND(REGEXMATCH($C16, $B16), REGEXMATCH($C16,Dagger_Bonuses[[#HEADERS],[Py]])), Dagger_Bonuses[Py],) ) / $K16, 0)"),0.0)</f>
        <v>0</v>
      </c>
      <c r="O16" s="44">
        <f>IFERROR(__xludf.DUMMYFUNCTION("IF(H16&gt;0, ($L16+$M16) * H16 * ($K16 + IF(AND(REGEXMATCH($C16, $B16), REGEXMATCH($C16,Dagger_Bonuses[[#HEADERS],[He]])), Dagger_Bonuses[He],) ) / $K16, 0)"),0.0)</f>
        <v>0</v>
      </c>
      <c r="P16" s="44">
        <f>IFERROR(__xludf.DUMMYFUNCTION("IF(I16&gt;0, ($L16+$M16) * I16 * ($K16 + IF(AND(REGEXMATCH($C16, $B16), REGEXMATCH($C16,Dagger_Bonuses[[#HEADERS],[Vo]])), Dagger_Bonuses[Vo],) ) / $K16, 0)"),0.0)</f>
        <v>0</v>
      </c>
      <c r="Q16" s="68">
        <f>$K16 *E16 / Dagger_Bonuses[Mag/Dmg]</f>
        <v>29.76</v>
      </c>
      <c r="R16" s="44">
        <f>IFERROR(__xludf.DUMMYFUNCTION("IF(G16&gt;0, ($L16+$Q16) * G16 * ($K16 + IF(AND(REGEXMATCH($C16, $B16), REGEXMATCH($C16,Dagger_Bonuses[[#HEADERS],[Py]])), Dagger_Bonuses[Py],) ) / $K16, 0)"),0.0)</f>
        <v>0</v>
      </c>
      <c r="S16" s="44">
        <f>IFERROR(__xludf.DUMMYFUNCTION("IF(H16&gt;0, ($L16+$Q16) * H16 * ($K16 + IF(AND(REGEXMATCH($C16, $B16), REGEXMATCH($C16,Dagger_Bonuses[[#HEADERS],[He]])), Dagger_Bonuses[He],) ) / $K16, 0)"),0.0)</f>
        <v>0</v>
      </c>
      <c r="T16" s="44">
        <f>IFERROR(__xludf.DUMMYFUNCTION("IF(I16&gt;0, ($L16+$Q16) * I16 * ($K16 + IF(AND(REGEXMATCH($C16, $B16), REGEXMATCH($C16,Dagger_Bonuses[[#HEADERS],[Vo]])), Dagger_Bonuses[Vo],) ) / $K16, 0)"),0.0)</f>
        <v>0</v>
      </c>
      <c r="U16" s="64">
        <f t="shared" si="2"/>
        <v>1694.933333</v>
      </c>
      <c r="V16" s="29">
        <v>1694.0</v>
      </c>
      <c r="W16" s="69">
        <f t="shared" si="3"/>
        <v>0.0005509641873</v>
      </c>
      <c r="X16" s="71">
        <f>IFERROR(__xludf.DUMMYFUNCTION("Dagger_Bonuses[Special
Mult] * ((L16 + Q16) * (K16 + IF(REGEXMATCH(C16, B16), If(REGEXMATCH(C16, Dagger_Bonuses[[#HEADERS],[Py]]), Dagger_Bonuses[Py], 0) + If(REGEXMATCH(C16, Dagger_Bonuses[[#HEADERS],[He]]), Dagger_Bonuses[He], 0) + If(REGEXMATCH(C16, Da"&amp;"gger_Bonuses[[#HEADERS],[Vo]]), Dagger_Bonuses[Vo], 0), 0)) / K16 + SUM(R16:T16))"),2492.6399999999994)</f>
        <v>2492.64</v>
      </c>
      <c r="Y16" s="55">
        <v>2493.0</v>
      </c>
      <c r="Z16" s="72">
        <f t="shared" si="4"/>
        <v>0.0001444043321</v>
      </c>
    </row>
    <row r="17" ht="22.5" customHeight="1">
      <c r="A17" s="47" t="s">
        <v>118</v>
      </c>
      <c r="B17" s="81" t="s">
        <v>22</v>
      </c>
      <c r="C17" s="81" t="s">
        <v>117</v>
      </c>
      <c r="D17" s="53">
        <v>2071.0</v>
      </c>
      <c r="E17" s="55">
        <v>227.0</v>
      </c>
      <c r="F17" s="56">
        <v>1020.0</v>
      </c>
      <c r="G17" s="57">
        <v>0.0</v>
      </c>
      <c r="H17" s="57">
        <v>0.0</v>
      </c>
      <c r="I17" s="57">
        <v>0.0</v>
      </c>
      <c r="J17" s="58">
        <v>0.0</v>
      </c>
      <c r="K17" s="43">
        <f>IFERROR(__xludf.DUMMYFUNCTION("1 + J17 + IF(REGEXMATCH(C17, Dagger_Bonuses[[#HEADERS],[De]]), Dagger_Bonuses[De]) + IF(REGEXMATCH(C17, Dagger_Bonuses[[#HEADERS],[Mi]]), Dagger_Bonuses[Mi])  + IF(REGEXMATCH(C17, Dagger_Bonuses[[#HEADERS],[Re]]), Dagger_Bonuses[Re], 0) + IF(REGEXMATCH(C1"&amp;"7, Dagger_Bonuses[[#HEADERS],[Tr1]]), Dagger_Bonuses[Tr1], 0) + IF(REGEXMATCH(C17, Dagger_Bonuses[[#HEADERS],[Tr2]]), Dagger_Bonuses[Tr2], 0)"),1.5999999999999999)</f>
        <v>1.6</v>
      </c>
      <c r="L17" s="44">
        <f t="shared" si="1"/>
        <v>1632</v>
      </c>
      <c r="M17" s="68">
        <f>$K17 *D17 / Dagger_Bonuses[Stam/Dmg]</f>
        <v>110.4533333</v>
      </c>
      <c r="N17" s="44">
        <f>IFERROR(__xludf.DUMMYFUNCTION("IF(G17&gt;0, ($L17+$M17) * G17 * ($K17 + IF(AND(REGEXMATCH($C17, $B17), REGEXMATCH($C17,Dagger_Bonuses[[#HEADERS],[Py]])), Dagger_Bonuses[Py],) ) / $K17, 0)"),0.0)</f>
        <v>0</v>
      </c>
      <c r="O17" s="44">
        <f>IFERROR(__xludf.DUMMYFUNCTION("IF(H17&gt;0, ($L17+$M17) * H17 * ($K17 + IF(AND(REGEXMATCH($C17, $B17), REGEXMATCH($C17,Dagger_Bonuses[[#HEADERS],[He]])), Dagger_Bonuses[He],) ) / $K17, 0)"),0.0)</f>
        <v>0</v>
      </c>
      <c r="P17" s="44">
        <f>IFERROR(__xludf.DUMMYFUNCTION("IF(I17&gt;0, ($L17+$M17) * I17 * ($K17 + IF(AND(REGEXMATCH($C17, $B17), REGEXMATCH($C17,Dagger_Bonuses[[#HEADERS],[Vo]])), Dagger_Bonuses[Vo],) ) / $K17, 0)"),0.0)</f>
        <v>0</v>
      </c>
      <c r="Q17" s="68">
        <f>$K17 *E17 / Dagger_Bonuses[Mag/Dmg]</f>
        <v>10.37714286</v>
      </c>
      <c r="R17" s="44">
        <f>IFERROR(__xludf.DUMMYFUNCTION("IF(G17&gt;0, ($L17+$Q17) * G17 * ($K17 + IF(AND(REGEXMATCH($C17, $B17), REGEXMATCH($C17,Dagger_Bonuses[[#HEADERS],[Py]])), Dagger_Bonuses[Py],) ) / $K17, 0)"),0.0)</f>
        <v>0</v>
      </c>
      <c r="S17" s="44">
        <f>IFERROR(__xludf.DUMMYFUNCTION("IF(H17&gt;0, ($L17+$Q17) * H17 * ($K17 + IF(AND(REGEXMATCH($C17, $B17), REGEXMATCH($C17,Dagger_Bonuses[[#HEADERS],[He]])), Dagger_Bonuses[He],) ) / $K17, 0)"),0.0)</f>
        <v>0</v>
      </c>
      <c r="T17" s="44">
        <f>IFERROR(__xludf.DUMMYFUNCTION("IF(I17&gt;0, ($L17+$Q17) * I17 * ($K17 + IF(AND(REGEXMATCH($C17, $B17), REGEXMATCH($C17,Dagger_Bonuses[[#HEADERS],[Vo]])), Dagger_Bonuses[Vo],) ) / $K17, 0)"),0.0)</f>
        <v>0</v>
      </c>
      <c r="U17" s="64">
        <f t="shared" si="2"/>
        <v>1742.453333</v>
      </c>
      <c r="V17" s="79">
        <v>1741.0</v>
      </c>
      <c r="W17" s="69">
        <f t="shared" si="3"/>
        <v>0.0008347692897</v>
      </c>
      <c r="X17" s="71">
        <f>IFERROR(__xludf.DUMMYFUNCTION("Dagger_Bonuses[Special
Mult] * ((L17 + Q17) * (K17 + IF(REGEXMATCH(C17, B17), If(REGEXMATCH(C17, Dagger_Bonuses[[#HEADERS],[Py]]), Dagger_Bonuses[Py], 0) + If(REGEXMATCH(C17, Dagger_Bonuses[[#HEADERS],[He]]), Dagger_Bonuses[He], 0) + If(REGEXMATCH(C17, Da"&amp;"gger_Bonuses[[#HEADERS],[Vo]]), Dagger_Bonuses[Vo], 0), 0)) / K17 + SUM(R17:T17))"),2463.565714285714)</f>
        <v>2463.565714</v>
      </c>
      <c r="Y17" s="55">
        <v>2463.0</v>
      </c>
      <c r="Z17" s="72">
        <f t="shared" si="4"/>
        <v>0.0002296850531</v>
      </c>
    </row>
    <row r="18" ht="22.5" customHeight="1">
      <c r="A18" s="143" t="s">
        <v>118</v>
      </c>
      <c r="B18" s="287" t="s">
        <v>22</v>
      </c>
      <c r="C18" s="287" t="s">
        <v>117</v>
      </c>
      <c r="D18" s="148">
        <v>1711.0</v>
      </c>
      <c r="E18" s="149">
        <v>227.0</v>
      </c>
      <c r="F18" s="150">
        <v>1020.0</v>
      </c>
      <c r="G18" s="151">
        <v>0.0</v>
      </c>
      <c r="H18" s="151">
        <v>0.0</v>
      </c>
      <c r="I18" s="151">
        <v>0.0</v>
      </c>
      <c r="J18" s="152">
        <v>0.3</v>
      </c>
      <c r="K18" s="156">
        <f>IFERROR(__xludf.DUMMYFUNCTION("1 + J18 + IF(REGEXMATCH(C18, Dagger_Bonuses[[#HEADERS],[De]]), Dagger_Bonuses[De]) + IF(REGEXMATCH(C18, Dagger_Bonuses[[#HEADERS],[Mi]]), Dagger_Bonuses[Mi])  + IF(REGEXMATCH(C18, Dagger_Bonuses[[#HEADERS],[Re]]), Dagger_Bonuses[Re], 0) + IF(REGEXMATCH(C1"&amp;"8, Dagger_Bonuses[[#HEADERS],[Tr1]]), Dagger_Bonuses[Tr1], 0) + IF(REGEXMATCH(C18, Dagger_Bonuses[[#HEADERS],[Tr2]]), Dagger_Bonuses[Tr2], 0)"),1.9)</f>
        <v>1.9</v>
      </c>
      <c r="L18" s="158">
        <f t="shared" si="1"/>
        <v>1938</v>
      </c>
      <c r="M18" s="160">
        <f>$K18 *D18 / Dagger_Bonuses[Stam/Dmg]</f>
        <v>108.3633333</v>
      </c>
      <c r="N18" s="158">
        <f>IFERROR(__xludf.DUMMYFUNCTION("IF(G18&gt;0, ($L18+$M18) * G18 * ($K18 + IF(AND(REGEXMATCH($C18, $B18), REGEXMATCH($C18,Dagger_Bonuses[[#HEADERS],[Py]])), Dagger_Bonuses[Py],) ) / $K18, 0)"),0.0)</f>
        <v>0</v>
      </c>
      <c r="O18" s="158">
        <f>IFERROR(__xludf.DUMMYFUNCTION("IF(H18&gt;0, ($L18+$M18) * H18 * ($K18 + IF(AND(REGEXMATCH($C18, $B18), REGEXMATCH($C18,Dagger_Bonuses[[#HEADERS],[He]])), Dagger_Bonuses[He],) ) / $K18, 0)"),0.0)</f>
        <v>0</v>
      </c>
      <c r="P18" s="158">
        <f>IFERROR(__xludf.DUMMYFUNCTION("IF(I18&gt;0, ($L18+$M18) * I18 * ($K18 + IF(AND(REGEXMATCH($C18, $B18), REGEXMATCH($C18,Dagger_Bonuses[[#HEADERS],[Vo]])), Dagger_Bonuses[Vo],) ) / $K18, 0)"),0.0)</f>
        <v>0</v>
      </c>
      <c r="Q18" s="160">
        <f>$K18 *E18 / Dagger_Bonuses[Mag/Dmg]</f>
        <v>12.32285714</v>
      </c>
      <c r="R18" s="158">
        <f>IFERROR(__xludf.DUMMYFUNCTION("IF(G18&gt;0, ($L18+$Q18) * G18 * ($K18 + IF(AND(REGEXMATCH($C18, $B18), REGEXMATCH($C18,Dagger_Bonuses[[#HEADERS],[Py]])), Dagger_Bonuses[Py],) ) / $K18, 0)"),0.0)</f>
        <v>0</v>
      </c>
      <c r="S18" s="158">
        <f>IFERROR(__xludf.DUMMYFUNCTION("IF(H18&gt;0, ($L18+$Q18) * H18 * ($K18 + IF(AND(REGEXMATCH($C18, $B18), REGEXMATCH($C18,Dagger_Bonuses[[#HEADERS],[He]])), Dagger_Bonuses[He],) ) / $K18, 0)"),0.0)</f>
        <v>0</v>
      </c>
      <c r="T18" s="158">
        <f>IFERROR(__xludf.DUMMYFUNCTION("IF(I18&gt;0, ($L18+$Q18) * I18 * ($K18 + IF(AND(REGEXMATCH($C18, $B18), REGEXMATCH($C18,Dagger_Bonuses[[#HEADERS],[Vo]])), Dagger_Bonuses[Vo],) ) / $K18, 0)"),0.0)</f>
        <v>0</v>
      </c>
      <c r="U18" s="162">
        <f t="shared" si="2"/>
        <v>2046.363333</v>
      </c>
      <c r="V18" s="288">
        <v>2044.0</v>
      </c>
      <c r="W18" s="163">
        <f t="shared" si="3"/>
        <v>0.001156229615</v>
      </c>
      <c r="X18" s="165">
        <f>IFERROR(__xludf.DUMMYFUNCTION("Dagger_Bonuses[Special
Mult] * ((L18 + Q18) * (K18 + IF(REGEXMATCH(C18, B18), If(REGEXMATCH(C18, Dagger_Bonuses[[#HEADERS],[Py]]), Dagger_Bonuses[Py], 0) + If(REGEXMATCH(C18, Dagger_Bonuses[[#HEADERS],[He]]), Dagger_Bonuses[He], 0) + If(REGEXMATCH(C18, Da"&amp;"gger_Bonuses[[#HEADERS],[Vo]]), Dagger_Bonuses[Vo], 0), 0)) / K18 + SUM(R18:T18))"),2925.4842857142858)</f>
        <v>2925.484286</v>
      </c>
      <c r="Y18" s="149">
        <v>2925.0</v>
      </c>
      <c r="Z18" s="166">
        <f t="shared" si="4"/>
        <v>0.0001655677656</v>
      </c>
    </row>
    <row r="19" ht="22.5" customHeight="1">
      <c r="A19" s="289" t="s">
        <v>105</v>
      </c>
      <c r="B19" s="290" t="s">
        <v>22</v>
      </c>
      <c r="C19" s="291" t="s">
        <v>119</v>
      </c>
      <c r="D19" s="170">
        <f>IFERROR(__xludf.DUMMYFUNCTION("200 + Scaling!$F$6 + Scaling!$C$15 + (INDEX(SPLIT($A19, "".""),3) + VLOOKUP(INDEX(SPLIT($A19, "".""),2), Rarity_Bonus_Levels_[[Identifier]:[Bonus Lvls]], 2) - 1) * (Scaling!$F$7 + Scaling!$C$16)"),507.6)</f>
        <v>507.6</v>
      </c>
      <c r="E19" s="171">
        <f t="shared" ref="E19:E30" si="5">200</f>
        <v>200</v>
      </c>
      <c r="F19" s="172">
        <f>IFERROR(__xludf.DUMMYFUNCTION("Scaling!$F$4 + (INDEX(SPLIT($A19, "".""),3) + VLOOKUP(INDEX(SPLIT($A19, "".""),2), Rarity_Bonus_Levels_[[Identifier]:[Bonus Lvls]], 2) - 1) * (Scaling!$F$5)"),100.4)</f>
        <v>100.4</v>
      </c>
      <c r="G19" s="174">
        <v>0.08</v>
      </c>
      <c r="H19" s="174">
        <v>0.08</v>
      </c>
      <c r="I19" s="174">
        <v>0.08</v>
      </c>
      <c r="J19" s="249">
        <v>0.3</v>
      </c>
      <c r="K19" s="250">
        <f>IFERROR(__xludf.DUMMYFUNCTION("1 + J19 + IF(REGEXMATCH(C19, Dagger_Bonuses[[#HEADERS],[De]]), Dagger_Bonuses[De]) + IF(REGEXMATCH(C19, Dagger_Bonuses[[#HEADERS],[Mi]]), Dagger_Bonuses[Mi])  + IF(REGEXMATCH(C19, Dagger_Bonuses[[#HEADERS],[Re]]), Dagger_Bonuses[Re], 0) + IF(REGEXMATCH(C1"&amp;"9, Dagger_Bonuses[[#HEADERS],[Tr1]]), Dagger_Bonuses[Tr1], 0) + IF(REGEXMATCH(C19, Dagger_Bonuses[[#HEADERS],[Tr2]]), Dagger_Bonuses[Tr2], 0)"),2.0)</f>
        <v>2</v>
      </c>
      <c r="L19" s="251">
        <f t="shared" si="1"/>
        <v>200.8</v>
      </c>
      <c r="M19" s="252">
        <f>$K19 * D19 / Dagger_Bonuses[Stam/Dmg]</f>
        <v>33.84</v>
      </c>
      <c r="N19" s="251">
        <f>IFERROR(__xludf.DUMMYFUNCTION("IF(G19&gt;0, ($L19+$M19) * G19 * ($K19 + IF(AND(REGEXMATCH($C19, $B19), REGEXMATCH($C19,Dagger_Bonuses[[#HEADERS],[Py]])), Dagger_Bonuses[Py],) ) / $K19, 0)"),20.648320000000002)</f>
        <v>20.64832</v>
      </c>
      <c r="O19" s="251">
        <f>IFERROR(__xludf.DUMMYFUNCTION("IF(H19&gt;0, ($L19+$M19) * H19 * ($K19 + IF(AND(REGEXMATCH($C19, $B19), REGEXMATCH($C19,Dagger_Bonuses[[#HEADERS],[He]])), Dagger_Bonuses[He],) ) / $K19, 0)"),18.7712)</f>
        <v>18.7712</v>
      </c>
      <c r="P19" s="251">
        <f>IFERROR(__xludf.DUMMYFUNCTION("IF(I19&gt;0, ($L19+$M19) * I19 * ($K19 + IF(AND(REGEXMATCH($C19, $B19), REGEXMATCH($C19,Dagger_Bonuses[[#HEADERS],[Vo]])), Dagger_Bonuses[Vo],) ) / $K19, 0)"),18.7712)</f>
        <v>18.7712</v>
      </c>
      <c r="Q19" s="252">
        <f>$K19 *E19 / Dagger_Bonuses[Mag/Dmg]</f>
        <v>11.42857143</v>
      </c>
      <c r="R19" s="251">
        <f>IFERROR(__xludf.DUMMYFUNCTION("IF(G19&gt;0, ($L19+$Q19) * G19 * ($K19 + IF(AND(REGEXMATCH($C19, $B19), REGEXMATCH($C19,Dagger_Bonuses[[#HEADERS],[Py]])), Dagger_Bonuses[Py],) ) / $K19, 0)"),18.676114285714288)</f>
        <v>18.67611429</v>
      </c>
      <c r="S19" s="251">
        <f>IFERROR(__xludf.DUMMYFUNCTION("IF(H19&gt;0, ($L19+$Q19) * H19 * ($K19 + IF(AND(REGEXMATCH($C19, $B19), REGEXMATCH($C19,Dagger_Bonuses[[#HEADERS],[He]])), Dagger_Bonuses[He],) ) / $K19, 0)"),16.978285714285715)</f>
        <v>16.97828571</v>
      </c>
      <c r="T19" s="251">
        <f>IFERROR(__xludf.DUMMYFUNCTION("IF(I19&gt;0, ($L19+$Q19) * I19 * ($K19 + IF(AND(REGEXMATCH($C19, $B19), REGEXMATCH($C19,Dagger_Bonuses[[#HEADERS],[Vo]])), Dagger_Bonuses[Vo],) ) / $K19, 0)"),16.978285714285715)</f>
        <v>16.97828571</v>
      </c>
      <c r="U19" s="292">
        <f t="shared" si="2"/>
        <v>292.83072</v>
      </c>
      <c r="V19" s="254"/>
      <c r="W19" s="255" t="str">
        <f t="shared" si="3"/>
        <v/>
      </c>
      <c r="X19" s="257">
        <f>IFERROR(__xludf.DUMMYFUNCTION("Dagger_Bonuses[Special
Mult] * ((L19 + Q19) * (K19 + IF(REGEXMATCH(C19, B19), If(REGEXMATCH(C19, Dagger_Bonuses[[#HEADERS],[Py]]), Dagger_Bonuses[Py], 0) + If(REGEXMATCH(C19, Dagger_Bonuses[[#HEADERS],[He]]), Dagger_Bonuses[He], 0) + If(REGEXMATCH(C19, Da"&amp;"gger_Bonuses[[#HEADERS],[Vo]]), Dagger_Bonuses[Vo], 0), 0)) / K19 + SUM(R19:T19))"),429.1261714285714)</f>
        <v>429.1261714</v>
      </c>
      <c r="Y19" s="257"/>
      <c r="Z19" s="258" t="str">
        <f t="shared" si="4"/>
        <v/>
      </c>
    </row>
    <row r="20" ht="22.5" customHeight="1">
      <c r="A20" s="293" t="s">
        <v>105</v>
      </c>
      <c r="B20" s="108" t="s">
        <v>22</v>
      </c>
      <c r="C20" s="294" t="s">
        <v>119</v>
      </c>
      <c r="D20" s="170">
        <f>IFERROR(__xludf.DUMMYFUNCTION("200 + Scaling!$F$6 + Scaling!$C$15 + (INDEX(SPLIT($A20, "".""),3) + VLOOKUP(INDEX(SPLIT($A20, "".""),2), Rarity_Bonus_Levels_[[Identifier]:[Bonus Lvls]], 2) - 1) * (Scaling!$F$7 + Scaling!$C$16)"),507.6)</f>
        <v>507.6</v>
      </c>
      <c r="E20" s="171">
        <f t="shared" si="5"/>
        <v>200</v>
      </c>
      <c r="F20" s="172">
        <f>IFERROR(__xludf.DUMMYFUNCTION("Scaling!$F$4 + (INDEX(SPLIT($A20, "".""),3) + VLOOKUP(INDEX(SPLIT($A20, "".""),2), Rarity_Bonus_Levels_[[Identifier]:[Bonus Lvls]], 2) - 1) * (Scaling!$F$5)"),100.4)</f>
        <v>100.4</v>
      </c>
      <c r="G20" s="188">
        <v>0.2</v>
      </c>
      <c r="H20" s="188"/>
      <c r="I20" s="189"/>
      <c r="J20" s="244">
        <v>0.3</v>
      </c>
      <c r="K20" s="90">
        <f>IFERROR(__xludf.DUMMYFUNCTION("1 + J20 + IF(REGEXMATCH(C20, Dagger_Bonuses[[#HEADERS],[De]]), Dagger_Bonuses[De]) + IF(REGEXMATCH(C20, Dagger_Bonuses[[#HEADERS],[Mi]]), Dagger_Bonuses[Mi])  + IF(REGEXMATCH(C20, Dagger_Bonuses[[#HEADERS],[Re]]), Dagger_Bonuses[Re], 0) + IF(REGEXMATCH(C2"&amp;"0, Dagger_Bonuses[[#HEADERS],[Tr1]]), Dagger_Bonuses[Tr1], 0) + IF(REGEXMATCH(C20, Dagger_Bonuses[[#HEADERS],[Tr2]]), Dagger_Bonuses[Tr2], 0)"),2.0)</f>
        <v>2</v>
      </c>
      <c r="L20" s="44">
        <f t="shared" si="1"/>
        <v>200.8</v>
      </c>
      <c r="M20" s="68">
        <f>$K20 * D20 / Dagger_Bonuses[Stam/Dmg]</f>
        <v>33.84</v>
      </c>
      <c r="N20" s="44">
        <f>IFERROR(__xludf.DUMMYFUNCTION("IF(G20&gt;0, ($L20+$M20) * G20 * ($K20 + IF(AND(REGEXMATCH($C20, $B20), REGEXMATCH($C20,Dagger_Bonuses[[#HEADERS],[Py]])), Dagger_Bonuses[Py],) ) / $K20, 0)"),51.62080000000001)</f>
        <v>51.6208</v>
      </c>
      <c r="O20" s="44">
        <f>IFERROR(__xludf.DUMMYFUNCTION("IF(H20&gt;0, ($L20+$M20) * H20 * ($K20 + IF(AND(REGEXMATCH($C20, $B20), REGEXMATCH($C20,Dagger_Bonuses[[#HEADERS],[He]])), Dagger_Bonuses[He],) ) / $K20, 0)"),0.0)</f>
        <v>0</v>
      </c>
      <c r="P20" s="44">
        <f>IFERROR(__xludf.DUMMYFUNCTION("IF(I20&gt;0, ($L20+$M20) * I20 * ($K20 + IF(AND(REGEXMATCH($C20, $B20), REGEXMATCH($C20,Dagger_Bonuses[[#HEADERS],[Vo]])), Dagger_Bonuses[Vo],) ) / $K20, 0)"),0.0)</f>
        <v>0</v>
      </c>
      <c r="Q20" s="68">
        <f>$K20 *E20 / Dagger_Bonuses[Mag/Dmg]</f>
        <v>11.42857143</v>
      </c>
      <c r="R20" s="44">
        <f>IFERROR(__xludf.DUMMYFUNCTION("IF(G20&gt;0, ($L20+$Q20) * G20 * ($K20 + IF(AND(REGEXMATCH($C20, $B20), REGEXMATCH($C20,Dagger_Bonuses[[#HEADERS],[Py]])), Dagger_Bonuses[Py],) ) / $K20, 0)"),46.69028571428572)</f>
        <v>46.69028571</v>
      </c>
      <c r="S20" s="44">
        <f>IFERROR(__xludf.DUMMYFUNCTION("IF(H20&gt;0, ($L20+$Q20) * H20 * ($K20 + IF(AND(REGEXMATCH($C20, $B20), REGEXMATCH($C20,Dagger_Bonuses[[#HEADERS],[He]])), Dagger_Bonuses[He],) ) / $K20, 0)"),0.0)</f>
        <v>0</v>
      </c>
      <c r="T20" s="44">
        <f>IFERROR(__xludf.DUMMYFUNCTION("IF(I20&gt;0, ($L20+$Q20) * I20 * ($K20 + IF(AND(REGEXMATCH($C20, $B20), REGEXMATCH($C20,Dagger_Bonuses[[#HEADERS],[Vo]])), Dagger_Bonuses[Vo],) ) / $K20, 0)"),0.0)</f>
        <v>0</v>
      </c>
      <c r="U20" s="64">
        <f t="shared" si="2"/>
        <v>286.2608</v>
      </c>
      <c r="V20" s="65"/>
      <c r="W20" s="69" t="str">
        <f t="shared" si="3"/>
        <v/>
      </c>
      <c r="X20" s="93">
        <f>IFERROR(__xludf.DUMMYFUNCTION("Dagger_Bonuses[Special
Mult] * ((L20 + Q20) * (K20 + IF(REGEXMATCH(C20, B20), If(REGEXMATCH(C20, Dagger_Bonuses[[#HEADERS],[Py]]), Dagger_Bonuses[Py], 0) + If(REGEXMATCH(C20, Dagger_Bonuses[[#HEADERS],[He]]), Dagger_Bonuses[He], 0) + If(REGEXMATCH(C20, Da"&amp;"gger_Bonuses[[#HEADERS],[Vo]]), Dagger_Bonuses[Vo], 0), 0)) / K20 + SUM(R20:T20))"),420.2125714285715)</f>
        <v>420.2125714</v>
      </c>
      <c r="Y20" s="93"/>
      <c r="Z20" s="72" t="str">
        <f t="shared" si="4"/>
        <v/>
      </c>
    </row>
    <row r="21" ht="22.5" customHeight="1">
      <c r="A21" s="80" t="s">
        <v>105</v>
      </c>
      <c r="B21" s="101" t="s">
        <v>22</v>
      </c>
      <c r="C21" s="295" t="s">
        <v>119</v>
      </c>
      <c r="D21" s="170">
        <f>IFERROR(__xludf.DUMMYFUNCTION("200 + Scaling!$F$6 + Scaling!$C$15 + (INDEX(SPLIT($A21, "".""),3) + VLOOKUP(INDEX(SPLIT($A21, "".""),2), Rarity_Bonus_Levels_[[Identifier]:[Bonus Lvls]], 2) - 1) * (Scaling!$F$7 + Scaling!$C$16)"),507.6)</f>
        <v>507.6</v>
      </c>
      <c r="E21" s="171">
        <f t="shared" si="5"/>
        <v>200</v>
      </c>
      <c r="F21" s="172">
        <f>IFERROR(__xludf.DUMMYFUNCTION("Scaling!$F$4 + (INDEX(SPLIT($A21, "".""),3) + VLOOKUP(INDEX(SPLIT($A21, "".""),2), Rarity_Bonus_Levels_[[Identifier]:[Bonus Lvls]], 2) - 1) * (Scaling!$F$5)"),100.4)</f>
        <v>100.4</v>
      </c>
      <c r="G21" s="203"/>
      <c r="H21" s="203">
        <v>0.2</v>
      </c>
      <c r="I21" s="203"/>
      <c r="J21" s="256">
        <v>0.3</v>
      </c>
      <c r="K21" s="90">
        <f>IFERROR(__xludf.DUMMYFUNCTION("1 + J21 + IF(REGEXMATCH(C21, Dagger_Bonuses[[#HEADERS],[De]]), Dagger_Bonuses[De]) + IF(REGEXMATCH(C21, Dagger_Bonuses[[#HEADERS],[Mi]]), Dagger_Bonuses[Mi])  + IF(REGEXMATCH(C21, Dagger_Bonuses[[#HEADERS],[Re]]), Dagger_Bonuses[Re], 0) + IF(REGEXMATCH(C2"&amp;"1, Dagger_Bonuses[[#HEADERS],[Tr1]]), Dagger_Bonuses[Tr1], 0) + IF(REGEXMATCH(C21, Dagger_Bonuses[[#HEADERS],[Tr2]]), Dagger_Bonuses[Tr2], 0)"),2.0)</f>
        <v>2</v>
      </c>
      <c r="L21" s="44">
        <f t="shared" si="1"/>
        <v>200.8</v>
      </c>
      <c r="M21" s="68">
        <f>$K21 * D21 / Dagger_Bonuses[Stam/Dmg]</f>
        <v>33.84</v>
      </c>
      <c r="N21" s="44">
        <f>IFERROR(__xludf.DUMMYFUNCTION("IF(G21&gt;0, ($L21+$M21) * G21 * ($K21 + IF(AND(REGEXMATCH($C21, $B21), REGEXMATCH($C21,Dagger_Bonuses[[#HEADERS],[Py]])), Dagger_Bonuses[Py],) ) / $K21, 0)"),0.0)</f>
        <v>0</v>
      </c>
      <c r="O21" s="44">
        <f>IFERROR(__xludf.DUMMYFUNCTION("IF(H21&gt;0, ($L21+$M21) * H21 * ($K21 + IF(AND(REGEXMATCH($C21, $B21), REGEXMATCH($C21,Dagger_Bonuses[[#HEADERS],[He]])), Dagger_Bonuses[He],) ) / $K21, 0)"),46.928000000000004)</f>
        <v>46.928</v>
      </c>
      <c r="P21" s="44">
        <f>IFERROR(__xludf.DUMMYFUNCTION("IF(I21&gt;0, ($L21+$M21) * I21 * ($K21 + IF(AND(REGEXMATCH($C21, $B21), REGEXMATCH($C21,Dagger_Bonuses[[#HEADERS],[Vo]])), Dagger_Bonuses[Vo],) ) / $K21, 0)"),0.0)</f>
        <v>0</v>
      </c>
      <c r="Q21" s="68">
        <f>$K21 *E21 / Dagger_Bonuses[Mag/Dmg]</f>
        <v>11.42857143</v>
      </c>
      <c r="R21" s="44">
        <f>IFERROR(__xludf.DUMMYFUNCTION("IF(G21&gt;0, ($L21+$Q21) * G21 * ($K21 + IF(AND(REGEXMATCH($C21, $B21), REGEXMATCH($C21,Dagger_Bonuses[[#HEADERS],[Py]])), Dagger_Bonuses[Py],) ) / $K21, 0)"),0.0)</f>
        <v>0</v>
      </c>
      <c r="S21" s="44">
        <f>IFERROR(__xludf.DUMMYFUNCTION("IF(H21&gt;0, ($L21+$Q21) * H21 * ($K21 + IF(AND(REGEXMATCH($C21, $B21), REGEXMATCH($C21,Dagger_Bonuses[[#HEADERS],[He]])), Dagger_Bonuses[He],) ) / $K21, 0)"),42.44571428571429)</f>
        <v>42.44571429</v>
      </c>
      <c r="T21" s="44">
        <f>IFERROR(__xludf.DUMMYFUNCTION("IF(I21&gt;0, ($L21+$Q21) * I21 * ($K21 + IF(AND(REGEXMATCH($C21, $B21), REGEXMATCH($C21,Dagger_Bonuses[[#HEADERS],[Vo]])), Dagger_Bonuses[Vo],) ) / $K21, 0)"),0.0)</f>
        <v>0</v>
      </c>
      <c r="U21" s="64">
        <f t="shared" si="2"/>
        <v>281.568</v>
      </c>
      <c r="V21" s="65"/>
      <c r="W21" s="69" t="str">
        <f t="shared" si="3"/>
        <v/>
      </c>
      <c r="X21" s="93">
        <f>IFERROR(__xludf.DUMMYFUNCTION("Dagger_Bonuses[Special
Mult] * ((L21 + Q21) * (K21 + IF(REGEXMATCH(C21, B21), If(REGEXMATCH(C21, Dagger_Bonuses[[#HEADERS],[Py]]), Dagger_Bonuses[Py], 0) + If(REGEXMATCH(C21, Dagger_Bonuses[[#HEADERS],[He]]), Dagger_Bonuses[He], 0) + If(REGEXMATCH(C21, Da"&amp;"gger_Bonuses[[#HEADERS],[Vo]]), Dagger_Bonuses[Vo], 0), 0)) / K21 + SUM(R21:T21))"),413.8457142857143)</f>
        <v>413.8457143</v>
      </c>
      <c r="Y21" s="93"/>
      <c r="Z21" s="72" t="str">
        <f t="shared" si="4"/>
        <v/>
      </c>
    </row>
    <row r="22" ht="22.5" customHeight="1">
      <c r="A22" s="296" t="s">
        <v>105</v>
      </c>
      <c r="B22" s="108" t="s">
        <v>22</v>
      </c>
      <c r="C22" s="294" t="s">
        <v>119</v>
      </c>
      <c r="D22" s="223">
        <f>IFERROR(__xludf.DUMMYFUNCTION("200 + Scaling!$F$6 + Scaling!$C$15 + (INDEX(SPLIT($A22, "".""),3) + VLOOKUP(INDEX(SPLIT($A22, "".""),2), Rarity_Bonus_Levels_[[Identifier]:[Bonus Lvls]], 2) - 1) * (Scaling!$F$7 + Scaling!$C$16)"),507.6)</f>
        <v>507.6</v>
      </c>
      <c r="E22" s="224">
        <f t="shared" si="5"/>
        <v>200</v>
      </c>
      <c r="F22" s="226">
        <f>IFERROR(__xludf.DUMMYFUNCTION("Scaling!$F$4 + (INDEX(SPLIT($A22, "".""),3) + VLOOKUP(INDEX(SPLIT($A22, "".""),2), Rarity_Bonus_Levels_[[Identifier]:[Bonus Lvls]], 2) - 1) * (Scaling!$F$5)"),100.4)</f>
        <v>100.4</v>
      </c>
      <c r="G22" s="228"/>
      <c r="H22" s="228"/>
      <c r="I22" s="228"/>
      <c r="J22" s="264">
        <v>0.3</v>
      </c>
      <c r="K22" s="90">
        <f>IFERROR(__xludf.DUMMYFUNCTION("1 + J22 + IF(REGEXMATCH(C22, Dagger_Bonuses[[#HEADERS],[De]]), Dagger_Bonuses[De]) + IF(REGEXMATCH(C22, Dagger_Bonuses[[#HEADERS],[Mi]]), Dagger_Bonuses[Mi])  + IF(REGEXMATCH(C22, Dagger_Bonuses[[#HEADERS],[Re]]), Dagger_Bonuses[Re], 0) + IF(REGEXMATCH(C2"&amp;"2, Dagger_Bonuses[[#HEADERS],[Tr1]]), Dagger_Bonuses[Tr1], 0) + IF(REGEXMATCH(C22, Dagger_Bonuses[[#HEADERS],[Tr2]]), Dagger_Bonuses[Tr2], 0)"),2.0)</f>
        <v>2</v>
      </c>
      <c r="L22" s="44">
        <f t="shared" si="1"/>
        <v>200.8</v>
      </c>
      <c r="M22" s="68">
        <f>$K22 * D22 / Dagger_Bonuses[Stam/Dmg]</f>
        <v>33.84</v>
      </c>
      <c r="N22" s="158">
        <f>IFERROR(__xludf.DUMMYFUNCTION("IF(G22&gt;0, ($L22+$M22) * G22 * ($K22 + IF(AND(REGEXMATCH($C22, $B22), REGEXMATCH($C22,Dagger_Bonuses[[#HEADERS],[Py]])), Dagger_Bonuses[Py],) ) / $K22, 0)"),0.0)</f>
        <v>0</v>
      </c>
      <c r="O22" s="158">
        <f>IFERROR(__xludf.DUMMYFUNCTION("IF(H22&gt;0, ($L22+$M22) * H22 * ($K22 + IF(AND(REGEXMATCH($C22, $B22), REGEXMATCH($C22,Dagger_Bonuses[[#HEADERS],[He]])), Dagger_Bonuses[He],) ) / $K22, 0)"),0.0)</f>
        <v>0</v>
      </c>
      <c r="P22" s="158">
        <f>IFERROR(__xludf.DUMMYFUNCTION("IF(I22&gt;0, ($L22+$M22) * I22 * ($K22 + IF(AND(REGEXMATCH($C22, $B22), REGEXMATCH($C22,Dagger_Bonuses[[#HEADERS],[Vo]])), Dagger_Bonuses[Vo],) ) / $K22, 0)"),0.0)</f>
        <v>0</v>
      </c>
      <c r="Q22" s="160">
        <f>$K22 *E22 / Dagger_Bonuses[Mag/Dmg]</f>
        <v>11.42857143</v>
      </c>
      <c r="R22" s="158">
        <f>IFERROR(__xludf.DUMMYFUNCTION("IF(G22&gt;0, ($L22+$Q22) * G22 * ($K22 + IF(AND(REGEXMATCH($C22, $B22), REGEXMATCH($C22,Dagger_Bonuses[[#HEADERS],[Py]])), Dagger_Bonuses[Py],) ) / $K22, 0)"),0.0)</f>
        <v>0</v>
      </c>
      <c r="S22" s="44">
        <f>IFERROR(__xludf.DUMMYFUNCTION("IF(H22&gt;0, ($L22+$Q22) * H22 * ($K22 + IF(AND(REGEXMATCH($C22, $B22), REGEXMATCH($C22,Dagger_Bonuses[[#HEADERS],[He]])), Dagger_Bonuses[He],) ) / $K22, 0)"),0.0)</f>
        <v>0</v>
      </c>
      <c r="T22" s="158">
        <f>IFERROR(__xludf.DUMMYFUNCTION("IF(I22&gt;0, ($L22+$Q22) * I22 * ($K22 + IF(AND(REGEXMATCH($C22, $B22), REGEXMATCH($C22,Dagger_Bonuses[[#HEADERS],[Vo]])), Dagger_Bonuses[Vo],) ) / $K22, 0)"),0.0)</f>
        <v>0</v>
      </c>
      <c r="U22" s="162">
        <f t="shared" si="2"/>
        <v>234.64</v>
      </c>
      <c r="V22" s="237"/>
      <c r="W22" s="163" t="str">
        <f t="shared" si="3"/>
        <v/>
      </c>
      <c r="X22" s="205">
        <f>IFERROR(__xludf.DUMMYFUNCTION("Dagger_Bonuses[Special
Mult] * ((L22 + Q22) * (K22 + IF(REGEXMATCH(C22, B22), If(REGEXMATCH(C22, Dagger_Bonuses[[#HEADERS],[Py]]), Dagger_Bonuses[Py], 0) + If(REGEXMATCH(C22, Dagger_Bonuses[[#HEADERS],[He]]), Dagger_Bonuses[He], 0) + If(REGEXMATCH(C22, Da"&amp;"gger_Bonuses[[#HEADERS],[Vo]]), Dagger_Bonuses[Vo], 0), 0)) / K22 + SUM(R22:T22))"),350.1771428571429)</f>
        <v>350.1771429</v>
      </c>
      <c r="Y22" s="205"/>
      <c r="Z22" s="166" t="str">
        <f t="shared" si="4"/>
        <v/>
      </c>
    </row>
    <row r="23" ht="22.5" customHeight="1">
      <c r="A23" s="106" t="s">
        <v>79</v>
      </c>
      <c r="B23" s="290" t="s">
        <v>22</v>
      </c>
      <c r="C23" s="291" t="s">
        <v>119</v>
      </c>
      <c r="D23" s="247">
        <f>IFERROR(__xludf.DUMMYFUNCTION("200 + Scaling!$F$6 + Scaling!$C$15 + (INDEX(SPLIT($A23, "".""),3) + VLOOKUP(INDEX(SPLIT($A23, "".""),2), Rarity_Bonus_Levels_[[Identifier]:[Bonus Lvls]], 2) - 1) * (Scaling!$F$7 + Scaling!$C$16)"),901.1999999999999)</f>
        <v>901.2</v>
      </c>
      <c r="E23" s="247">
        <f t="shared" si="5"/>
        <v>200</v>
      </c>
      <c r="F23" s="248">
        <f>IFERROR(__xludf.DUMMYFUNCTION("Scaling!$F$4 + (INDEX(SPLIT($A23, "".""),3) + VLOOKUP(INDEX(SPLIT($A23, "".""),2), Rarity_Bonus_Levels_[[Identifier]:[Bonus Lvls]], 2) - 1) * (Scaling!$F$5)"),318.79999999999995)</f>
        <v>318.8</v>
      </c>
      <c r="G23" s="174">
        <v>0.08</v>
      </c>
      <c r="H23" s="174">
        <v>0.08</v>
      </c>
      <c r="I23" s="174">
        <v>0.08</v>
      </c>
      <c r="J23" s="249">
        <v>0.3</v>
      </c>
      <c r="K23" s="250">
        <f>IFERROR(__xludf.DUMMYFUNCTION("1 + J23 + IF(REGEXMATCH(C23, Dagger_Bonuses[[#HEADERS],[De]]), Dagger_Bonuses[De]) + IF(REGEXMATCH(C23, Dagger_Bonuses[[#HEADERS],[Mi]]), Dagger_Bonuses[Mi])  + IF(REGEXMATCH(C23, Dagger_Bonuses[[#HEADERS],[Re]]), Dagger_Bonuses[Re], 0) + IF(REGEXMATCH(C2"&amp;"3, Dagger_Bonuses[[#HEADERS],[Tr1]]), Dagger_Bonuses[Tr1], 0) + IF(REGEXMATCH(C23, Dagger_Bonuses[[#HEADERS],[Tr2]]), Dagger_Bonuses[Tr2], 0)"),2.0)</f>
        <v>2</v>
      </c>
      <c r="L23" s="251">
        <f t="shared" si="1"/>
        <v>637.6</v>
      </c>
      <c r="M23" s="252">
        <f>$K23 * D23 / Dagger_Bonuses[Stam/Dmg]</f>
        <v>60.08</v>
      </c>
      <c r="N23" s="44">
        <f>IFERROR(__xludf.DUMMYFUNCTION("IF(G23&gt;0, ($L23+$M23) * G23 * ($K23 + IF(AND(REGEXMATCH($C23, $B23), REGEXMATCH($C23,Dagger_Bonuses[[#HEADERS],[Py]])), Dagger_Bonuses[Py],) ) / $K23, 0)"),61.39584000000001)</f>
        <v>61.39584</v>
      </c>
      <c r="O23" s="44">
        <f>IFERROR(__xludf.DUMMYFUNCTION("IF(H23&gt;0, ($L23+$M23) * H23 * ($K23 + IF(AND(REGEXMATCH($C23, $B23), REGEXMATCH($C23,Dagger_Bonuses[[#HEADERS],[He]])), Dagger_Bonuses[He],) ) / $K23, 0)"),55.8144)</f>
        <v>55.8144</v>
      </c>
      <c r="P23" s="44">
        <f>IFERROR(__xludf.DUMMYFUNCTION("IF(I23&gt;0, ($L23+$M23) * I23 * ($K23 + IF(AND(REGEXMATCH($C23, $B23), REGEXMATCH($C23,Dagger_Bonuses[[#HEADERS],[Vo]])), Dagger_Bonuses[Vo],) ) / $K23, 0)"),55.8144)</f>
        <v>55.8144</v>
      </c>
      <c r="Q23" s="68">
        <f>$K23 *E23 / Dagger_Bonuses[Mag/Dmg]</f>
        <v>11.42857143</v>
      </c>
      <c r="R23" s="251">
        <f>IFERROR(__xludf.DUMMYFUNCTION("IF(G23&gt;0, ($L23+$Q23) * G23 * ($K23 + IF(AND(REGEXMATCH($C23, $B23), REGEXMATCH($C23,Dagger_Bonuses[[#HEADERS],[Py]])), Dagger_Bonuses[Py],) ) / $K23, 0)"),57.11451428571428)</f>
        <v>57.11451429</v>
      </c>
      <c r="S23" s="251">
        <f>IFERROR(__xludf.DUMMYFUNCTION("IF(H23&gt;0, ($L23+$Q23) * H23 * ($K23 + IF(AND(REGEXMATCH($C23, $B23), REGEXMATCH($C23,Dagger_Bonuses[[#HEADERS],[He]])), Dagger_Bonuses[He],) ) / $K23, 0)"),51.92228571428571)</f>
        <v>51.92228571</v>
      </c>
      <c r="T23" s="44">
        <f>IFERROR(__xludf.DUMMYFUNCTION("IF(I23&gt;0, ($L23+$Q23) * I23 * ($K23 + IF(AND(REGEXMATCH($C23, $B23), REGEXMATCH($C23,Dagger_Bonuses[[#HEADERS],[Vo]])), Dagger_Bonuses[Vo],) ) / $K23, 0)"),51.92228571428571)</f>
        <v>51.92228571</v>
      </c>
      <c r="U23" s="64">
        <f t="shared" si="2"/>
        <v>870.70464</v>
      </c>
      <c r="V23" s="254"/>
      <c r="W23" s="255" t="str">
        <f t="shared" si="3"/>
        <v/>
      </c>
      <c r="X23" s="257">
        <f>IFERROR(__xludf.DUMMYFUNCTION("Dagger_Bonuses[Special
Mult] * ((L23 + Q23) * (K23 + IF(REGEXMATCH(C23, B23), If(REGEXMATCH(C23, Dagger_Bonuses[[#HEADERS],[Py]]), Dagger_Bonuses[Py], 0) + If(REGEXMATCH(C23, Dagger_Bonuses[[#HEADERS],[He]]), Dagger_Bonuses[He], 0) + If(REGEXMATCH(C23, Da"&amp;"gger_Bonuses[[#HEADERS],[Vo]]), Dagger_Bonuses[Vo], 0), 0)) / K23 + SUM(R23:T23))"),1312.3357714285714)</f>
        <v>1312.335771</v>
      </c>
      <c r="Y23" s="257"/>
      <c r="Z23" s="258" t="str">
        <f t="shared" si="4"/>
        <v/>
      </c>
    </row>
    <row r="24" ht="22.5" customHeight="1">
      <c r="A24" s="259" t="s">
        <v>79</v>
      </c>
      <c r="B24" s="108" t="s">
        <v>22</v>
      </c>
      <c r="C24" s="294" t="s">
        <v>119</v>
      </c>
      <c r="D24" s="247">
        <f>IFERROR(__xludf.DUMMYFUNCTION("200 + Scaling!$F$6 + Scaling!$C$15 + (INDEX(SPLIT($A24, "".""),3) + VLOOKUP(INDEX(SPLIT($A24, "".""),2), Rarity_Bonus_Levels_[[Identifier]:[Bonus Lvls]], 2) - 1) * (Scaling!$F$7 + Scaling!$C$16)"),901.1999999999999)</f>
        <v>901.2</v>
      </c>
      <c r="E24" s="260">
        <f t="shared" si="5"/>
        <v>200</v>
      </c>
      <c r="F24" s="248">
        <f>IFERROR(__xludf.DUMMYFUNCTION("Scaling!$F$4 + (INDEX(SPLIT($A24, "".""),3) + VLOOKUP(INDEX(SPLIT($A24, "".""),2), Rarity_Bonus_Levels_[[Identifier]:[Bonus Lvls]], 2) - 1) * (Scaling!$F$5)"),318.79999999999995)</f>
        <v>318.8</v>
      </c>
      <c r="G24" s="188">
        <v>0.2</v>
      </c>
      <c r="H24" s="188"/>
      <c r="I24" s="189"/>
      <c r="J24" s="244">
        <v>0.3</v>
      </c>
      <c r="K24" s="90">
        <f>IFERROR(__xludf.DUMMYFUNCTION("1 + J24 + IF(REGEXMATCH(C24, Dagger_Bonuses[[#HEADERS],[De]]), Dagger_Bonuses[De]) + IF(REGEXMATCH(C24, Dagger_Bonuses[[#HEADERS],[Mi]]), Dagger_Bonuses[Mi])  + IF(REGEXMATCH(C24, Dagger_Bonuses[[#HEADERS],[Re]]), Dagger_Bonuses[Re], 0) + IF(REGEXMATCH(C2"&amp;"4, Dagger_Bonuses[[#HEADERS],[Tr1]]), Dagger_Bonuses[Tr1], 0) + IF(REGEXMATCH(C24, Dagger_Bonuses[[#HEADERS],[Tr2]]), Dagger_Bonuses[Tr2], 0)"),2.0)</f>
        <v>2</v>
      </c>
      <c r="L24" s="44">
        <f t="shared" si="1"/>
        <v>637.6</v>
      </c>
      <c r="M24" s="68">
        <f>$K24 * D24 / Dagger_Bonuses[Stam/Dmg]</f>
        <v>60.08</v>
      </c>
      <c r="N24" s="44">
        <f>IFERROR(__xludf.DUMMYFUNCTION("IF(G24&gt;0, ($L24+$M24) * G24 * ($K24 + IF(AND(REGEXMATCH($C24, $B24), REGEXMATCH($C24,Dagger_Bonuses[[#HEADERS],[Py]])), Dagger_Bonuses[Py],) ) / $K24, 0)"),153.48960000000002)</f>
        <v>153.4896</v>
      </c>
      <c r="O24" s="44">
        <f>IFERROR(__xludf.DUMMYFUNCTION("IF(H24&gt;0, ($L24+$M24) * H24 * ($K24 + IF(AND(REGEXMATCH($C24, $B24), REGEXMATCH($C24,Dagger_Bonuses[[#HEADERS],[He]])), Dagger_Bonuses[He],) ) / $K24, 0)"),0.0)</f>
        <v>0</v>
      </c>
      <c r="P24" s="44">
        <f>IFERROR(__xludf.DUMMYFUNCTION("IF(I24&gt;0, ($L24+$M24) * I24 * ($K24 + IF(AND(REGEXMATCH($C24, $B24), REGEXMATCH($C24,Dagger_Bonuses[[#HEADERS],[Vo]])), Dagger_Bonuses[Vo],) ) / $K24, 0)"),0.0)</f>
        <v>0</v>
      </c>
      <c r="Q24" s="68">
        <f>$K24 *E24 / Dagger_Bonuses[Mag/Dmg]</f>
        <v>11.42857143</v>
      </c>
      <c r="R24" s="44">
        <f>IFERROR(__xludf.DUMMYFUNCTION("IF(G24&gt;0, ($L24+$Q24) * G24 * ($K24 + IF(AND(REGEXMATCH($C24, $B24), REGEXMATCH($C24,Dagger_Bonuses[[#HEADERS],[Py]])), Dagger_Bonuses[Py],) ) / $K24, 0)"),142.78628571428573)</f>
        <v>142.7862857</v>
      </c>
      <c r="S24" s="44">
        <f>IFERROR(__xludf.DUMMYFUNCTION("IF(H24&gt;0, ($L24+$Q24) * H24 * ($K24 + IF(AND(REGEXMATCH($C24, $B24), REGEXMATCH($C24,Dagger_Bonuses[[#HEADERS],[He]])), Dagger_Bonuses[He],) ) / $K24, 0)"),0.0)</f>
        <v>0</v>
      </c>
      <c r="T24" s="44">
        <f>IFERROR(__xludf.DUMMYFUNCTION("IF(I24&gt;0, ($L24+$Q24) * I24 * ($K24 + IF(AND(REGEXMATCH($C24, $B24), REGEXMATCH($C24,Dagger_Bonuses[[#HEADERS],[Vo]])), Dagger_Bonuses[Vo],) ) / $K24, 0)"),0.0)</f>
        <v>0</v>
      </c>
      <c r="U24" s="64">
        <f t="shared" si="2"/>
        <v>851.1696</v>
      </c>
      <c r="V24" s="65"/>
      <c r="W24" s="69" t="str">
        <f t="shared" si="3"/>
        <v/>
      </c>
      <c r="X24" s="93">
        <f>IFERROR(__xludf.DUMMYFUNCTION("Dagger_Bonuses[Special
Mult] * ((L24 + Q24) * (K24 + IF(REGEXMATCH(C24, B24), If(REGEXMATCH(C24, Dagger_Bonuses[[#HEADERS],[Py]]), Dagger_Bonuses[Py], 0) + If(REGEXMATCH(C24, Dagger_Bonuses[[#HEADERS],[He]]), Dagger_Bonuses[He], 0) + If(REGEXMATCH(C24, Da"&amp;"gger_Bonuses[[#HEADERS],[Vo]]), Dagger_Bonuses[Vo], 0), 0)) / K24 + SUM(R24:T24))"),1285.0765714285712)</f>
        <v>1285.076571</v>
      </c>
      <c r="Y24" s="93"/>
      <c r="Z24" s="72" t="str">
        <f t="shared" si="4"/>
        <v/>
      </c>
    </row>
    <row r="25" ht="22.5" customHeight="1">
      <c r="A25" s="106" t="s">
        <v>79</v>
      </c>
      <c r="B25" s="101" t="s">
        <v>22</v>
      </c>
      <c r="C25" s="295" t="s">
        <v>119</v>
      </c>
      <c r="D25" s="247">
        <f>IFERROR(__xludf.DUMMYFUNCTION("200 + Scaling!$F$6 + Scaling!$C$15 + (INDEX(SPLIT($A25, "".""),3) + VLOOKUP(INDEX(SPLIT($A25, "".""),2), Rarity_Bonus_Levels_[[Identifier]:[Bonus Lvls]], 2) - 1) * (Scaling!$F$7 + Scaling!$C$16)"),901.1999999999999)</f>
        <v>901.2</v>
      </c>
      <c r="E25" s="260">
        <f t="shared" si="5"/>
        <v>200</v>
      </c>
      <c r="F25" s="248">
        <f>IFERROR(__xludf.DUMMYFUNCTION("Scaling!$F$4 + (INDEX(SPLIT($A25, "".""),3) + VLOOKUP(INDEX(SPLIT($A25, "".""),2), Rarity_Bonus_Levels_[[Identifier]:[Bonus Lvls]], 2) - 1) * (Scaling!$F$5)"),318.79999999999995)</f>
        <v>318.8</v>
      </c>
      <c r="G25" s="203"/>
      <c r="H25" s="203">
        <v>0.2</v>
      </c>
      <c r="I25" s="203"/>
      <c r="J25" s="256">
        <v>0.3</v>
      </c>
      <c r="K25" s="90">
        <f>IFERROR(__xludf.DUMMYFUNCTION("1 + J25 + IF(REGEXMATCH(C25, Dagger_Bonuses[[#HEADERS],[De]]), Dagger_Bonuses[De]) + IF(REGEXMATCH(C25, Dagger_Bonuses[[#HEADERS],[Mi]]), Dagger_Bonuses[Mi])  + IF(REGEXMATCH(C25, Dagger_Bonuses[[#HEADERS],[Re]]), Dagger_Bonuses[Re], 0) + IF(REGEXMATCH(C2"&amp;"5, Dagger_Bonuses[[#HEADERS],[Tr1]]), Dagger_Bonuses[Tr1], 0) + IF(REGEXMATCH(C25, Dagger_Bonuses[[#HEADERS],[Tr2]]), Dagger_Bonuses[Tr2], 0)"),2.0)</f>
        <v>2</v>
      </c>
      <c r="L25" s="44">
        <f t="shared" si="1"/>
        <v>637.6</v>
      </c>
      <c r="M25" s="68">
        <f>$K25 * D25 / Dagger_Bonuses[Stam/Dmg]</f>
        <v>60.08</v>
      </c>
      <c r="N25" s="44">
        <f>IFERROR(__xludf.DUMMYFUNCTION("IF(G25&gt;0, ($L25+$M25) * G25 * ($K25 + IF(AND(REGEXMATCH($C25, $B25), REGEXMATCH($C25,Dagger_Bonuses[[#HEADERS],[Py]])), Dagger_Bonuses[Py],) ) / $K25, 0)"),0.0)</f>
        <v>0</v>
      </c>
      <c r="O25" s="44">
        <f>IFERROR(__xludf.DUMMYFUNCTION("IF(H25&gt;0, ($L25+$M25) * H25 * ($K25 + IF(AND(REGEXMATCH($C25, $B25), REGEXMATCH($C25,Dagger_Bonuses[[#HEADERS],[He]])), Dagger_Bonuses[He],) ) / $K25, 0)"),139.536)</f>
        <v>139.536</v>
      </c>
      <c r="P25" s="44">
        <f>IFERROR(__xludf.DUMMYFUNCTION("IF(I25&gt;0, ($L25+$M25) * I25 * ($K25 + IF(AND(REGEXMATCH($C25, $B25), REGEXMATCH($C25,Dagger_Bonuses[[#HEADERS],[Vo]])), Dagger_Bonuses[Vo],) ) / $K25, 0)"),0.0)</f>
        <v>0</v>
      </c>
      <c r="Q25" s="68">
        <f>$K25 *E25 / Dagger_Bonuses[Mag/Dmg]</f>
        <v>11.42857143</v>
      </c>
      <c r="R25" s="44">
        <f>IFERROR(__xludf.DUMMYFUNCTION("IF(G25&gt;0, ($L25+$Q25) * G25 * ($K25 + IF(AND(REGEXMATCH($C25, $B25), REGEXMATCH($C25,Dagger_Bonuses[[#HEADERS],[Py]])), Dagger_Bonuses[Py],) ) / $K25, 0)"),0.0)</f>
        <v>0</v>
      </c>
      <c r="S25" s="44">
        <f>IFERROR(__xludf.DUMMYFUNCTION("IF(H25&gt;0, ($L25+$Q25) * H25 * ($K25 + IF(AND(REGEXMATCH($C25, $B25), REGEXMATCH($C25,Dagger_Bonuses[[#HEADERS],[He]])), Dagger_Bonuses[He],) ) / $K25, 0)"),129.8057142857143)</f>
        <v>129.8057143</v>
      </c>
      <c r="T25" s="44">
        <f>IFERROR(__xludf.DUMMYFUNCTION("IF(I25&gt;0, ($L25+$Q25) * I25 * ($K25 + IF(AND(REGEXMATCH($C25, $B25), REGEXMATCH($C25,Dagger_Bonuses[[#HEADERS],[Vo]])), Dagger_Bonuses[Vo],) ) / $K25, 0)"),0.0)</f>
        <v>0</v>
      </c>
      <c r="U25" s="64">
        <f t="shared" si="2"/>
        <v>837.216</v>
      </c>
      <c r="V25" s="65"/>
      <c r="W25" s="69" t="str">
        <f t="shared" si="3"/>
        <v/>
      </c>
      <c r="X25" s="93">
        <f>IFERROR(__xludf.DUMMYFUNCTION("Dagger_Bonuses[Special
Mult] * ((L25 + Q25) * (K25 + IF(REGEXMATCH(C25, B25), If(REGEXMATCH(C25, Dagger_Bonuses[[#HEADERS],[Py]]), Dagger_Bonuses[Py], 0) + If(REGEXMATCH(C25, Dagger_Bonuses[[#HEADERS],[He]]), Dagger_Bonuses[He], 0) + If(REGEXMATCH(C25, Da"&amp;"gger_Bonuses[[#HEADERS],[Vo]]), Dagger_Bonuses[Vo], 0), 0)) / K25 + SUM(R25:T25))"),1265.6057142857144)</f>
        <v>1265.605714</v>
      </c>
      <c r="Y25" s="93"/>
      <c r="Z25" s="72" t="str">
        <f t="shared" si="4"/>
        <v/>
      </c>
    </row>
    <row r="26" ht="22.5" customHeight="1">
      <c r="A26" s="268" t="s">
        <v>79</v>
      </c>
      <c r="B26" s="108" t="s">
        <v>22</v>
      </c>
      <c r="C26" s="294" t="s">
        <v>119</v>
      </c>
      <c r="D26" s="223">
        <f>IFERROR(__xludf.DUMMYFUNCTION("200 + Scaling!$F$6 + Scaling!$C$15 + (INDEX(SPLIT($A26, "".""),3) + VLOOKUP(INDEX(SPLIT($A26, "".""),2), Rarity_Bonus_Levels_[[Identifier]:[Bonus Lvls]], 2) - 1) * (Scaling!$F$7 + Scaling!$C$16)"),901.1999999999999)</f>
        <v>901.2</v>
      </c>
      <c r="E26" s="270">
        <f t="shared" si="5"/>
        <v>200</v>
      </c>
      <c r="F26" s="226">
        <f>IFERROR(__xludf.DUMMYFUNCTION("Scaling!$F$4 + (INDEX(SPLIT($A26, "".""),3) + VLOOKUP(INDEX(SPLIT($A26, "".""),2), Rarity_Bonus_Levels_[[Identifier]:[Bonus Lvls]], 2) - 1) * (Scaling!$F$5)"),318.79999999999995)</f>
        <v>318.8</v>
      </c>
      <c r="G26" s="228"/>
      <c r="H26" s="228"/>
      <c r="I26" s="228"/>
      <c r="J26" s="264">
        <v>0.3</v>
      </c>
      <c r="K26" s="200">
        <f>IFERROR(__xludf.DUMMYFUNCTION("1 + J26 + IF(REGEXMATCH(C26, Dagger_Bonuses[[#HEADERS],[De]]), Dagger_Bonuses[De]) + IF(REGEXMATCH(C26, Dagger_Bonuses[[#HEADERS],[Mi]]), Dagger_Bonuses[Mi])  + IF(REGEXMATCH(C26, Dagger_Bonuses[[#HEADERS],[Re]]), Dagger_Bonuses[Re], 0) + IF(REGEXMATCH(C2"&amp;"6, Dagger_Bonuses[[#HEADERS],[Tr1]]), Dagger_Bonuses[Tr1], 0) + IF(REGEXMATCH(C26, Dagger_Bonuses[[#HEADERS],[Tr2]]), Dagger_Bonuses[Tr2], 0)"),2.0)</f>
        <v>2</v>
      </c>
      <c r="L26" s="158">
        <f t="shared" si="1"/>
        <v>637.6</v>
      </c>
      <c r="M26" s="160">
        <f>$K26 * D26 / Dagger_Bonuses[Stam/Dmg]</f>
        <v>60.08</v>
      </c>
      <c r="N26" s="158">
        <f>IFERROR(__xludf.DUMMYFUNCTION("IF(G26&gt;0, ($L26+$M26) * G26 * ($K26 + IF(AND(REGEXMATCH($C26, $B26), REGEXMATCH($C26,Dagger_Bonuses[[#HEADERS],[Py]])), Dagger_Bonuses[Py],) ) / $K26, 0)"),0.0)</f>
        <v>0</v>
      </c>
      <c r="O26" s="158">
        <f>IFERROR(__xludf.DUMMYFUNCTION("IF(H26&gt;0, ($L26+$M26) * H26 * ($K26 + IF(AND(REGEXMATCH($C26, $B26), REGEXMATCH($C26,Dagger_Bonuses[[#HEADERS],[He]])), Dagger_Bonuses[He],) ) / $K26, 0)"),0.0)</f>
        <v>0</v>
      </c>
      <c r="P26" s="158">
        <f>IFERROR(__xludf.DUMMYFUNCTION("IF(I26&gt;0, ($L26+$M26) * I26 * ($K26 + IF(AND(REGEXMATCH($C26, $B26), REGEXMATCH($C26,Dagger_Bonuses[[#HEADERS],[Vo]])), Dagger_Bonuses[Vo],) ) / $K26, 0)"),0.0)</f>
        <v>0</v>
      </c>
      <c r="Q26" s="160">
        <f>$K26 *E26 / Dagger_Bonuses[Mag/Dmg]</f>
        <v>11.42857143</v>
      </c>
      <c r="R26" s="158">
        <f>IFERROR(__xludf.DUMMYFUNCTION("IF(G26&gt;0, ($L26+$Q26) * G26 * ($K26 + IF(AND(REGEXMATCH($C26, $B26), REGEXMATCH($C26,Dagger_Bonuses[[#HEADERS],[Py]])), Dagger_Bonuses[Py],) ) / $K26, 0)"),0.0)</f>
        <v>0</v>
      </c>
      <c r="S26" s="158">
        <f>IFERROR(__xludf.DUMMYFUNCTION("IF(H26&gt;0, ($L26+$Q26) * H26 * ($K26 + IF(AND(REGEXMATCH($C26, $B26), REGEXMATCH($C26,Dagger_Bonuses[[#HEADERS],[He]])), Dagger_Bonuses[He],) ) / $K26, 0)"),0.0)</f>
        <v>0</v>
      </c>
      <c r="T26" s="158">
        <f>IFERROR(__xludf.DUMMYFUNCTION("IF(I26&gt;0, ($L26+$Q26) * I26 * ($K26 + IF(AND(REGEXMATCH($C26, $B26), REGEXMATCH($C26,Dagger_Bonuses[[#HEADERS],[Vo]])), Dagger_Bonuses[Vo],) ) / $K26, 0)"),0.0)</f>
        <v>0</v>
      </c>
      <c r="U26" s="162">
        <f t="shared" si="2"/>
        <v>697.68</v>
      </c>
      <c r="V26" s="237"/>
      <c r="W26" s="163" t="str">
        <f t="shared" si="3"/>
        <v/>
      </c>
      <c r="X26" s="205">
        <f>IFERROR(__xludf.DUMMYFUNCTION("Dagger_Bonuses[Special
Mult] * ((L26 + Q26) * (K26 + IF(REGEXMATCH(C26, B26), If(REGEXMATCH(C26, Dagger_Bonuses[[#HEADERS],[Py]]), Dagger_Bonuses[Py], 0) + If(REGEXMATCH(C26, Dagger_Bonuses[[#HEADERS],[He]]), Dagger_Bonuses[He], 0) + If(REGEXMATCH(C26, Da"&amp;"gger_Bonuses[[#HEADERS],[Vo]]), Dagger_Bonuses[Vo], 0), 0)) / K26 + SUM(R26:T26))"),1070.8971428571429)</f>
        <v>1070.897143</v>
      </c>
      <c r="Y26" s="205"/>
      <c r="Z26" s="166" t="str">
        <f t="shared" si="4"/>
        <v/>
      </c>
    </row>
    <row r="27" ht="22.5" customHeight="1">
      <c r="A27" s="106" t="s">
        <v>111</v>
      </c>
      <c r="B27" s="290" t="s">
        <v>22</v>
      </c>
      <c r="C27" s="291" t="s">
        <v>119</v>
      </c>
      <c r="D27" s="247">
        <f>IFERROR(__xludf.DUMMYFUNCTION("200 + Scaling!$F$6 + Scaling!$C$15 + (INDEX(SPLIT($A27, "".""),3) + VLOOKUP(INDEX(SPLIT($A27, "".""),2), Rarity_Bonus_Levels_[[Identifier]:[Bonus Lvls]], 2) - 1) * (Scaling!$F$7 + Scaling!$C$16)"),2131.2)</f>
        <v>2131.2</v>
      </c>
      <c r="E27" s="247">
        <f t="shared" si="5"/>
        <v>200</v>
      </c>
      <c r="F27" s="248">
        <f>IFERROR(__xludf.DUMMYFUNCTION("Scaling!$F$4 + (INDEX(SPLIT($A27, "".""),3) + VLOOKUP(INDEX(SPLIT($A27, "".""),2), Rarity_Bonus_Levels_[[Identifier]:[Bonus Lvls]], 2) - 1) * (Scaling!$F$5)"),1001.3)</f>
        <v>1001.3</v>
      </c>
      <c r="G27" s="57">
        <v>0.08</v>
      </c>
      <c r="H27" s="57">
        <v>0.08</v>
      </c>
      <c r="I27" s="57">
        <v>0.08</v>
      </c>
      <c r="J27" s="256">
        <v>0.3</v>
      </c>
      <c r="K27" s="90">
        <f>IFERROR(__xludf.DUMMYFUNCTION("1 + J27 + IF(REGEXMATCH(C27, Dagger_Bonuses[[#HEADERS],[De]]), Dagger_Bonuses[De]) + IF(REGEXMATCH(C27, Dagger_Bonuses[[#HEADERS],[Mi]]), Dagger_Bonuses[Mi])  + IF(REGEXMATCH(C27, Dagger_Bonuses[[#HEADERS],[Re]]), Dagger_Bonuses[Re], 0) + IF(REGEXMATCH(C2"&amp;"7, Dagger_Bonuses[[#HEADERS],[Tr1]]), Dagger_Bonuses[Tr1], 0) + IF(REGEXMATCH(C27, Dagger_Bonuses[[#HEADERS],[Tr2]]), Dagger_Bonuses[Tr2], 0)"),2.0)</f>
        <v>2</v>
      </c>
      <c r="L27" s="44">
        <f t="shared" si="1"/>
        <v>2002.6</v>
      </c>
      <c r="M27" s="68">
        <f>$K27 * D27 / Dagger_Bonuses[Stam/Dmg]</f>
        <v>142.08</v>
      </c>
      <c r="N27" s="44">
        <f>IFERROR(__xludf.DUMMYFUNCTION("IF(G27&gt;0, ($L27+$M27) * G27 * ($K27 + IF(AND(REGEXMATCH($C27, $B27), REGEXMATCH($C27,Dagger_Bonuses[[#HEADERS],[Py]])), Dagger_Bonuses[Py],) ) / $K27, 0)"),188.73184)</f>
        <v>188.73184</v>
      </c>
      <c r="O27" s="44">
        <f>IFERROR(__xludf.DUMMYFUNCTION("IF(H27&gt;0, ($L27+$M27) * H27 * ($K27 + IF(AND(REGEXMATCH($C27, $B27), REGEXMATCH($C27,Dagger_Bonuses[[#HEADERS],[He]])), Dagger_Bonuses[He],) ) / $K27, 0)"),171.5744)</f>
        <v>171.5744</v>
      </c>
      <c r="P27" s="44">
        <f>IFERROR(__xludf.DUMMYFUNCTION("IF(I27&gt;0, ($L27+$M27) * I27 * ($K27 + IF(AND(REGEXMATCH($C27, $B27), REGEXMATCH($C27,Dagger_Bonuses[[#HEADERS],[Vo]])), Dagger_Bonuses[Vo],) ) / $K27, 0)"),171.5744)</f>
        <v>171.5744</v>
      </c>
      <c r="Q27" s="68">
        <f>$K27 *E27 / Dagger_Bonuses[Mag/Dmg]</f>
        <v>11.42857143</v>
      </c>
      <c r="R27" s="44">
        <f>IFERROR(__xludf.DUMMYFUNCTION("IF(G27&gt;0, ($L27+$Q27) * G27 * ($K27 + IF(AND(REGEXMATCH($C27, $B27), REGEXMATCH($C27,Dagger_Bonuses[[#HEADERS],[Py]])), Dagger_Bonuses[Py],) ) / $K27, 0)"),177.23451428571428)</f>
        <v>177.2345143</v>
      </c>
      <c r="S27" s="44">
        <f>IFERROR(__xludf.DUMMYFUNCTION("IF(H27&gt;0, ($L27+$Q27) * H27 * ($K27 + IF(AND(REGEXMATCH($C27, $B27), REGEXMATCH($C27,Dagger_Bonuses[[#HEADERS],[He]])), Dagger_Bonuses[He],) ) / $K27, 0)"),161.1222857142857)</f>
        <v>161.1222857</v>
      </c>
      <c r="T27" s="44">
        <f>IFERROR(__xludf.DUMMYFUNCTION("IF(I27&gt;0, ($L27+$Q27) * I27 * ($K27 + IF(AND(REGEXMATCH($C27, $B27), REGEXMATCH($C27,Dagger_Bonuses[[#HEADERS],[Vo]])), Dagger_Bonuses[Vo],) ) / $K27, 0)"),161.1222857142857)</f>
        <v>161.1222857</v>
      </c>
      <c r="U27" s="64">
        <f t="shared" si="2"/>
        <v>2676.56064</v>
      </c>
      <c r="V27" s="65"/>
      <c r="W27" s="69" t="str">
        <f t="shared" si="3"/>
        <v/>
      </c>
      <c r="X27" s="92">
        <f>IFERROR(__xludf.DUMMYFUNCTION("Dagger_Bonuses[Special
Mult] * ((L27 + Q27) * (K27 + IF(REGEXMATCH(C27, B27), If(REGEXMATCH(C27, Dagger_Bonuses[[#HEADERS],[Py]]), Dagger_Bonuses[Py], 0) + If(REGEXMATCH(C27, Dagger_Bonuses[[#HEADERS],[He]]), Dagger_Bonuses[He], 0) + If(REGEXMATCH(C27, Da"&amp;"gger_Bonuses[[#HEADERS],[Vo]]), Dagger_Bonuses[Vo], 0), 0)) / K27 + SUM(R27:T27))"),4072.3657714285714)</f>
        <v>4072.365771</v>
      </c>
      <c r="Y27" s="92"/>
      <c r="Z27" s="72" t="str">
        <f t="shared" si="4"/>
        <v/>
      </c>
    </row>
    <row r="28" ht="22.5" customHeight="1">
      <c r="A28" s="259" t="s">
        <v>111</v>
      </c>
      <c r="B28" s="108" t="s">
        <v>22</v>
      </c>
      <c r="C28" s="294" t="s">
        <v>119</v>
      </c>
      <c r="D28" s="247">
        <f>IFERROR(__xludf.DUMMYFUNCTION("200 + Scaling!$F$6 + Scaling!$C$15 + (INDEX(SPLIT($A28, "".""),3) + VLOOKUP(INDEX(SPLIT($A28, "".""),2), Rarity_Bonus_Levels_[[Identifier]:[Bonus Lvls]], 2) - 1) * (Scaling!$F$7 + Scaling!$C$16)"),2131.2)</f>
        <v>2131.2</v>
      </c>
      <c r="E28" s="260">
        <f t="shared" si="5"/>
        <v>200</v>
      </c>
      <c r="F28" s="248">
        <f>IFERROR(__xludf.DUMMYFUNCTION("Scaling!$F$4 + (INDEX(SPLIT($A28, "".""),3) + VLOOKUP(INDEX(SPLIT($A28, "".""),2), Rarity_Bonus_Levels_[[Identifier]:[Bonus Lvls]], 2) - 1) * (Scaling!$F$5)"),1001.3)</f>
        <v>1001.3</v>
      </c>
      <c r="G28" s="188">
        <v>0.2</v>
      </c>
      <c r="H28" s="188"/>
      <c r="I28" s="189"/>
      <c r="J28" s="244">
        <v>0.3</v>
      </c>
      <c r="K28" s="90">
        <f>IFERROR(__xludf.DUMMYFUNCTION("1 + J28 + IF(REGEXMATCH(C28, Dagger_Bonuses[[#HEADERS],[De]]), Dagger_Bonuses[De]) + IF(REGEXMATCH(C28, Dagger_Bonuses[[#HEADERS],[Mi]]), Dagger_Bonuses[Mi])  + IF(REGEXMATCH(C28, Dagger_Bonuses[[#HEADERS],[Re]]), Dagger_Bonuses[Re], 0) + IF(REGEXMATCH(C2"&amp;"8, Dagger_Bonuses[[#HEADERS],[Tr1]]), Dagger_Bonuses[Tr1], 0) + IF(REGEXMATCH(C28, Dagger_Bonuses[[#HEADERS],[Tr2]]), Dagger_Bonuses[Tr2], 0)"),2.0)</f>
        <v>2</v>
      </c>
      <c r="L28" s="44">
        <f t="shared" si="1"/>
        <v>2002.6</v>
      </c>
      <c r="M28" s="68">
        <f>$K28 * D28 / Dagger_Bonuses[Stam/Dmg]</f>
        <v>142.08</v>
      </c>
      <c r="N28" s="44">
        <f>IFERROR(__xludf.DUMMYFUNCTION("IF(G28&gt;0, ($L28+$M28) * G28 * ($K28 + IF(AND(REGEXMATCH($C28, $B28), REGEXMATCH($C28,Dagger_Bonuses[[#HEADERS],[Py]])), Dagger_Bonuses[Py],) ) / $K28, 0)"),471.8296)</f>
        <v>471.8296</v>
      </c>
      <c r="O28" s="44">
        <f>IFERROR(__xludf.DUMMYFUNCTION("IF(H28&gt;0, ($L28+$M28) * H28 * ($K28 + IF(AND(REGEXMATCH($C28, $B28), REGEXMATCH($C28,Dagger_Bonuses[[#HEADERS],[He]])), Dagger_Bonuses[He],) ) / $K28, 0)"),0.0)</f>
        <v>0</v>
      </c>
      <c r="P28" s="44">
        <f>IFERROR(__xludf.DUMMYFUNCTION("IF(I28&gt;0, ($L28+$M28) * I28 * ($K28 + IF(AND(REGEXMATCH($C28, $B28), REGEXMATCH($C28,Dagger_Bonuses[[#HEADERS],[Vo]])), Dagger_Bonuses[Vo],) ) / $K28, 0)"),0.0)</f>
        <v>0</v>
      </c>
      <c r="Q28" s="68">
        <f>$K28 *E28 / Dagger_Bonuses[Mag/Dmg]</f>
        <v>11.42857143</v>
      </c>
      <c r="R28" s="44">
        <f>IFERROR(__xludf.DUMMYFUNCTION("IF(G28&gt;0, ($L28+$Q28) * G28 * ($K28 + IF(AND(REGEXMATCH($C28, $B28), REGEXMATCH($C28,Dagger_Bonuses[[#HEADERS],[Py]])), Dagger_Bonuses[Py],) ) / $K28, 0)"),443.08628571428574)</f>
        <v>443.0862857</v>
      </c>
      <c r="S28" s="44">
        <f>IFERROR(__xludf.DUMMYFUNCTION("IF(H28&gt;0, ($L28+$Q28) * H28 * ($K28 + IF(AND(REGEXMATCH($C28, $B28), REGEXMATCH($C28,Dagger_Bonuses[[#HEADERS],[He]])), Dagger_Bonuses[He],) ) / $K28, 0)"),0.0)</f>
        <v>0</v>
      </c>
      <c r="T28" s="44">
        <f>IFERROR(__xludf.DUMMYFUNCTION("IF(I28&gt;0, ($L28+$Q28) * I28 * ($K28 + IF(AND(REGEXMATCH($C28, $B28), REGEXMATCH($C28,Dagger_Bonuses[[#HEADERS],[Vo]])), Dagger_Bonuses[Vo],) ) / $K28, 0)"),0.0)</f>
        <v>0</v>
      </c>
      <c r="U28" s="64">
        <f t="shared" si="2"/>
        <v>2616.5096</v>
      </c>
      <c r="V28" s="65"/>
      <c r="W28" s="69" t="str">
        <f t="shared" si="3"/>
        <v/>
      </c>
      <c r="X28" s="92">
        <f>IFERROR(__xludf.DUMMYFUNCTION("Dagger_Bonuses[Special
Mult] * ((L28 + Q28) * (K28 + IF(REGEXMATCH(C28, B28), If(REGEXMATCH(C28, Dagger_Bonuses[[#HEADERS],[Py]]), Dagger_Bonuses[Py], 0) + If(REGEXMATCH(C28, Dagger_Bonuses[[#HEADERS],[He]]), Dagger_Bonuses[He], 0) + If(REGEXMATCH(C28, Da"&amp;"gger_Bonuses[[#HEADERS],[Vo]]), Dagger_Bonuses[Vo], 0), 0)) / K28 + SUM(R28:T28))"),3987.7765714285715)</f>
        <v>3987.776571</v>
      </c>
      <c r="Y28" s="92"/>
      <c r="Z28" s="72" t="str">
        <f t="shared" si="4"/>
        <v/>
      </c>
    </row>
    <row r="29" ht="22.5" customHeight="1">
      <c r="A29" s="106" t="s">
        <v>111</v>
      </c>
      <c r="B29" s="101" t="s">
        <v>22</v>
      </c>
      <c r="C29" s="295" t="s">
        <v>119</v>
      </c>
      <c r="D29" s="247">
        <f>IFERROR(__xludf.DUMMYFUNCTION("200 + Scaling!$F$6 + Scaling!$C$15 + (INDEX(SPLIT($A29, "".""),3) + VLOOKUP(INDEX(SPLIT($A29, "".""),2), Rarity_Bonus_Levels_[[Identifier]:[Bonus Lvls]], 2) - 1) * (Scaling!$F$7 + Scaling!$C$16)"),2131.2)</f>
        <v>2131.2</v>
      </c>
      <c r="E29" s="260">
        <f t="shared" si="5"/>
        <v>200</v>
      </c>
      <c r="F29" s="248">
        <f>IFERROR(__xludf.DUMMYFUNCTION("Scaling!$F$4 + (INDEX(SPLIT($A29, "".""),3) + VLOOKUP(INDEX(SPLIT($A29, "".""),2), Rarity_Bonus_Levels_[[Identifier]:[Bonus Lvls]], 2) - 1) * (Scaling!$F$5)"),1001.3)</f>
        <v>1001.3</v>
      </c>
      <c r="G29" s="203"/>
      <c r="H29" s="203">
        <v>0.2</v>
      </c>
      <c r="I29" s="203"/>
      <c r="J29" s="256">
        <v>0.3</v>
      </c>
      <c r="K29" s="90">
        <f>IFERROR(__xludf.DUMMYFUNCTION("1 + J29 + IF(REGEXMATCH(C29, Dagger_Bonuses[[#HEADERS],[De]]), Dagger_Bonuses[De]) + IF(REGEXMATCH(C29, Dagger_Bonuses[[#HEADERS],[Mi]]), Dagger_Bonuses[Mi])  + IF(REGEXMATCH(C29, Dagger_Bonuses[[#HEADERS],[Re]]), Dagger_Bonuses[Re], 0) + IF(REGEXMATCH(C2"&amp;"9, Dagger_Bonuses[[#HEADERS],[Tr1]]), Dagger_Bonuses[Tr1], 0) + IF(REGEXMATCH(C29, Dagger_Bonuses[[#HEADERS],[Tr2]]), Dagger_Bonuses[Tr2], 0)"),2.0)</f>
        <v>2</v>
      </c>
      <c r="L29" s="44">
        <f t="shared" si="1"/>
        <v>2002.6</v>
      </c>
      <c r="M29" s="68">
        <f>$K29 * D29 / Dagger_Bonuses[Stam/Dmg]</f>
        <v>142.08</v>
      </c>
      <c r="N29" s="44">
        <f>IFERROR(__xludf.DUMMYFUNCTION("IF(G29&gt;0, ($L29+$M29) * G29 * ($K29 + IF(AND(REGEXMATCH($C29, $B29), REGEXMATCH($C29,Dagger_Bonuses[[#HEADERS],[Py]])), Dagger_Bonuses[Py],) ) / $K29, 0)"),0.0)</f>
        <v>0</v>
      </c>
      <c r="O29" s="44">
        <f>IFERROR(__xludf.DUMMYFUNCTION("IF(H29&gt;0, ($L29+$M29) * H29 * ($K29 + IF(AND(REGEXMATCH($C29, $B29), REGEXMATCH($C29,Dagger_Bonuses[[#HEADERS],[He]])), Dagger_Bonuses[He],) ) / $K29, 0)"),428.936)</f>
        <v>428.936</v>
      </c>
      <c r="P29" s="44">
        <f>IFERROR(__xludf.DUMMYFUNCTION("IF(I29&gt;0, ($L29+$M29) * I29 * ($K29 + IF(AND(REGEXMATCH($C29, $B29), REGEXMATCH($C29,Dagger_Bonuses[[#HEADERS],[Vo]])), Dagger_Bonuses[Vo],) ) / $K29, 0)"),0.0)</f>
        <v>0</v>
      </c>
      <c r="Q29" s="68">
        <f>$K29 *E29 / Dagger_Bonuses[Mag/Dmg]</f>
        <v>11.42857143</v>
      </c>
      <c r="R29" s="44">
        <f>IFERROR(__xludf.DUMMYFUNCTION("IF(G29&gt;0, ($L29+$Q29) * G29 * ($K29 + IF(AND(REGEXMATCH($C29, $B29), REGEXMATCH($C29,Dagger_Bonuses[[#HEADERS],[Py]])), Dagger_Bonuses[Py],) ) / $K29, 0)"),0.0)</f>
        <v>0</v>
      </c>
      <c r="S29" s="44">
        <f>IFERROR(__xludf.DUMMYFUNCTION("IF(H29&gt;0, ($L29+$Q29) * H29 * ($K29 + IF(AND(REGEXMATCH($C29, $B29), REGEXMATCH($C29,Dagger_Bonuses[[#HEADERS],[He]])), Dagger_Bonuses[He],) ) / $K29, 0)"),402.80571428571426)</f>
        <v>402.8057143</v>
      </c>
      <c r="T29" s="44">
        <f>IFERROR(__xludf.DUMMYFUNCTION("IF(I29&gt;0, ($L29+$Q29) * I29 * ($K29 + IF(AND(REGEXMATCH($C29, $B29), REGEXMATCH($C29,Dagger_Bonuses[[#HEADERS],[Vo]])), Dagger_Bonuses[Vo],) ) / $K29, 0)"),0.0)</f>
        <v>0</v>
      </c>
      <c r="U29" s="64">
        <f t="shared" si="2"/>
        <v>2573.616</v>
      </c>
      <c r="V29" s="65"/>
      <c r="W29" s="69" t="str">
        <f t="shared" si="3"/>
        <v/>
      </c>
      <c r="X29" s="92">
        <f>IFERROR(__xludf.DUMMYFUNCTION("Dagger_Bonuses[Special
Mult] * ((L29 + Q29) * (K29 + IF(REGEXMATCH(C29, B29), If(REGEXMATCH(C29, Dagger_Bonuses[[#HEADERS],[Py]]), Dagger_Bonuses[Py], 0) + If(REGEXMATCH(C29, Dagger_Bonuses[[#HEADERS],[He]]), Dagger_Bonuses[He], 0) + If(REGEXMATCH(C29, Da"&amp;"gger_Bonuses[[#HEADERS],[Vo]]), Dagger_Bonuses[Vo], 0), 0)) / K29 + SUM(R29:T29))"),3927.3557142857144)</f>
        <v>3927.355714</v>
      </c>
      <c r="Y29" s="92"/>
      <c r="Z29" s="72" t="str">
        <f t="shared" si="4"/>
        <v/>
      </c>
    </row>
    <row r="30" ht="22.5" customHeight="1">
      <c r="A30" s="280" t="s">
        <v>111</v>
      </c>
      <c r="B30" s="297" t="s">
        <v>22</v>
      </c>
      <c r="C30" s="298" t="s">
        <v>119</v>
      </c>
      <c r="D30" s="223">
        <f>IFERROR(__xludf.DUMMYFUNCTION("200 + Scaling!$F$6 + Scaling!$C$15 + (INDEX(SPLIT($A30, "".""),3) + VLOOKUP(INDEX(SPLIT($A30, "".""),2), Rarity_Bonus_Levels_[[Identifier]:[Bonus Lvls]], 2) - 1) * (Scaling!$F$7 + Scaling!$C$16)"),2131.2)</f>
        <v>2131.2</v>
      </c>
      <c r="E30" s="270">
        <f t="shared" si="5"/>
        <v>200</v>
      </c>
      <c r="F30" s="226">
        <f>IFERROR(__xludf.DUMMYFUNCTION("Scaling!$F$4 + (INDEX(SPLIT($A30, "".""),3) + VLOOKUP(INDEX(SPLIT($A30, "".""),2), Rarity_Bonus_Levels_[[Identifier]:[Bonus Lvls]], 2) - 1) * (Scaling!$F$5)"),1001.3)</f>
        <v>1001.3</v>
      </c>
      <c r="G30" s="228"/>
      <c r="H30" s="228"/>
      <c r="I30" s="228"/>
      <c r="J30" s="283">
        <v>0.3</v>
      </c>
      <c r="K30" s="90">
        <f>IFERROR(__xludf.DUMMYFUNCTION("1 + J30 + IF(REGEXMATCH(C30, Dagger_Bonuses[[#HEADERS],[De]]), Dagger_Bonuses[De]) + IF(REGEXMATCH(C30, Dagger_Bonuses[[#HEADERS],[Mi]]), Dagger_Bonuses[Mi])  + IF(REGEXMATCH(C30, Dagger_Bonuses[[#HEADERS],[Re]]), Dagger_Bonuses[Re], 0) + IF(REGEXMATCH(C3"&amp;"0, Dagger_Bonuses[[#HEADERS],[Tr1]]), Dagger_Bonuses[Tr1], 0) + IF(REGEXMATCH(C30, Dagger_Bonuses[[#HEADERS],[Tr2]]), Dagger_Bonuses[Tr2], 0)"),2.0)</f>
        <v>2</v>
      </c>
      <c r="L30" s="44">
        <f t="shared" si="1"/>
        <v>2002.6</v>
      </c>
      <c r="M30" s="68">
        <f>$K30 * D30 / Dagger_Bonuses[Stam/Dmg]</f>
        <v>142.08</v>
      </c>
      <c r="N30" s="44">
        <f>IFERROR(__xludf.DUMMYFUNCTION("IF(G30&gt;0, ($L30+$M30) * G30 * ($K30 + IF(AND(REGEXMATCH($C30, $B30), REGEXMATCH($C30,Dagger_Bonuses[[#HEADERS],[Py]])), Dagger_Bonuses[Py],) ) / $K30, 0)"),0.0)</f>
        <v>0</v>
      </c>
      <c r="O30" s="44">
        <f>IFERROR(__xludf.DUMMYFUNCTION("IF(H30&gt;0, ($L30+$M30) * H30 * ($K30 + IF(AND(REGEXMATCH($C30, $B30), REGEXMATCH($C30,Dagger_Bonuses[[#HEADERS],[He]])), Dagger_Bonuses[He],) ) / $K30, 0)"),0.0)</f>
        <v>0</v>
      </c>
      <c r="P30" s="44">
        <f>IFERROR(__xludf.DUMMYFUNCTION("IF(I30&gt;0, ($L30+$M30) * I30 * ($K30 + IF(AND(REGEXMATCH($C30, $B30), REGEXMATCH($C30,Dagger_Bonuses[[#HEADERS],[Vo]])), Dagger_Bonuses[Vo],) ) / $K30, 0)"),0.0)</f>
        <v>0</v>
      </c>
      <c r="Q30" s="68">
        <f>$K30 *E30 / Dagger_Bonuses[Mag/Dmg]</f>
        <v>11.42857143</v>
      </c>
      <c r="R30" s="44">
        <f>IFERROR(__xludf.DUMMYFUNCTION("IF(G30&gt;0, ($L30+$Q30) * G30 * ($K30 + IF(AND(REGEXMATCH($C30, $B30), REGEXMATCH($C30,Dagger_Bonuses[[#HEADERS],[Py]])), Dagger_Bonuses[Py],) ) / $K30, 0)"),0.0)</f>
        <v>0</v>
      </c>
      <c r="S30" s="44">
        <f>IFERROR(__xludf.DUMMYFUNCTION("IF(H30&gt;0, ($L30+$Q30) * H30 * ($K30 + IF(AND(REGEXMATCH($C30, $B30), REGEXMATCH($C30,Dagger_Bonuses[[#HEADERS],[He]])), Dagger_Bonuses[He],) ) / $K30, 0)"),0.0)</f>
        <v>0</v>
      </c>
      <c r="T30" s="44">
        <f>IFERROR(__xludf.DUMMYFUNCTION("IF(I30&gt;0, ($L30+$Q30) * I30 * ($K30 + IF(AND(REGEXMATCH($C30, $B30), REGEXMATCH($C30,Dagger_Bonuses[[#HEADERS],[Vo]])), Dagger_Bonuses[Vo],) ) / $K30, 0)"),0.0)</f>
        <v>0</v>
      </c>
      <c r="U30" s="64">
        <f t="shared" si="2"/>
        <v>2144.68</v>
      </c>
      <c r="V30" s="65"/>
      <c r="W30" s="69" t="str">
        <f t="shared" si="3"/>
        <v/>
      </c>
      <c r="X30" s="92">
        <f>IFERROR(__xludf.DUMMYFUNCTION("Dagger_Bonuses[Special
Mult] * ((L30 + Q30) * (K30 + IF(REGEXMATCH(C30, B30), If(REGEXMATCH(C30, Dagger_Bonuses[[#HEADERS],[Py]]), Dagger_Bonuses[Py], 0) + If(REGEXMATCH(C30, Dagger_Bonuses[[#HEADERS],[He]]), Dagger_Bonuses[He], 0) + If(REGEXMATCH(C30, Da"&amp;"gger_Bonuses[[#HEADERS],[Vo]]), Dagger_Bonuses[Vo], 0), 0)) / K30 + SUM(R30:T30))"),3323.147142857143)</f>
        <v>3323.147143</v>
      </c>
      <c r="Y30" s="92"/>
      <c r="Z30" s="72" t="str">
        <f t="shared" si="4"/>
        <v/>
      </c>
    </row>
    <row r="31">
      <c r="J31" s="7"/>
      <c r="K31" s="7"/>
      <c r="L31" s="7"/>
      <c r="M31" s="7"/>
    </row>
    <row r="32">
      <c r="J32" s="7"/>
      <c r="K32" s="7"/>
      <c r="L32" s="7"/>
      <c r="M32" s="7"/>
    </row>
    <row r="33">
      <c r="J33" s="7"/>
      <c r="K33" s="7"/>
      <c r="L33" s="7"/>
      <c r="M33" s="7"/>
    </row>
    <row r="34">
      <c r="J34" s="7"/>
      <c r="K34" s="7"/>
      <c r="L34" s="7"/>
      <c r="M34" s="7"/>
    </row>
  </sheetData>
  <mergeCells count="8">
    <mergeCell ref="D1:H1"/>
    <mergeCell ref="I1:K1"/>
    <mergeCell ref="A5:J5"/>
    <mergeCell ref="K5:L5"/>
    <mergeCell ref="M5:P5"/>
    <mergeCell ref="Q5:T5"/>
    <mergeCell ref="U5:W5"/>
    <mergeCell ref="X5:Z5"/>
  </mergeCells>
  <conditionalFormatting sqref="W7:W30">
    <cfRule type="colorScale" priority="1">
      <colorScale>
        <cfvo type="formula" val="0"/>
        <cfvo type="formula" val="0.015"/>
        <cfvo type="formula" val="0.03"/>
        <color rgb="FF57BB8A"/>
        <color rgb="FFFFD666"/>
        <color rgb="FFE67C73"/>
      </colorScale>
    </cfRule>
  </conditionalFormatting>
  <conditionalFormatting sqref="Z7:Z30">
    <cfRule type="colorScale" priority="2">
      <colorScale>
        <cfvo type="formula" val="0"/>
        <cfvo type="formula" val="0.015"/>
        <cfvo type="formula" val="0.03"/>
        <color rgb="FF57BB8A"/>
        <color rgb="FFFFD666"/>
        <color rgb="FFE67C73"/>
      </colorScale>
    </cfRule>
  </conditionalFormatting>
  <conditionalFormatting sqref="A1:Z34">
    <cfRule type="cellIs" dxfId="7" priority="3" operator="equal">
      <formula>0</formula>
    </cfRule>
  </conditionalFormatting>
  <drawing r:id="rId2"/>
  <legacyDrawing r:id="rId3"/>
  <tableParts count="2">
    <tablePart r:id="rId6"/>
    <tablePart r:id="rId7"/>
  </tableParts>
</worksheet>
</file>